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Índice" sheetId="1" r:id="rId4"/>
    <sheet state="visible" name="1. Vivienda" sheetId="2" r:id="rId5"/>
    <sheet state="visible" name="2. Hogar" sheetId="3" r:id="rId6"/>
    <sheet state="visible" name="3. Mortalidad" sheetId="4" r:id="rId7"/>
    <sheet state="visible" name="4. Emigración" sheetId="5" r:id="rId8"/>
    <sheet state="visible" name="5. Población" sheetId="6" r:id="rId9"/>
  </sheets>
  <definedNames>
    <definedName hidden="1" localSheetId="1" name="_xlnm._FilterDatabase">'1. Vivienda'!$A$12:$G$44</definedName>
    <definedName hidden="1" localSheetId="2" name="_xlnm._FilterDatabase">'2. Hogar'!$A$12:$G$56</definedName>
    <definedName hidden="1" localSheetId="3" name="_xlnm._FilterDatabase">'3. Mortalidad'!$A$12:$G$28</definedName>
    <definedName hidden="1" localSheetId="4" name="_xlnm._FilterDatabase">'4. Emigración'!$A$12:$G$26</definedName>
    <definedName hidden="1" localSheetId="5" name="_xlnm._FilterDatabase">'5. Población'!$B$12:$H$106</definedName>
  </definedNames>
  <calcPr/>
  <extLst>
    <ext uri="GoogleSheetsCustomDataVersion2">
      <go:sheetsCustomData xmlns:go="http://customooxmlschemas.google.com/" r:id="rId10" roundtripDataChecksum="0iZrjxoYMgL1RUckJtE1K7joQhsgz5/McVU1K2JVG2Q="/>
    </ext>
  </extLst>
</workbook>
</file>

<file path=xl/sharedStrings.xml><?xml version="1.0" encoding="utf-8"?>
<sst xmlns="http://schemas.openxmlformats.org/spreadsheetml/2006/main" count="1282" uniqueCount="631">
  <si>
    <t>Instituto Nacional de Estadística y Censos</t>
  </si>
  <si>
    <t>VIII Censo de Población y VII de Vivienda</t>
  </si>
  <si>
    <t>Diccionario de Variables</t>
  </si>
  <si>
    <t xml:space="preserve">Base de Datos a Nivel de Cantón </t>
  </si>
  <si>
    <t>(Incluye variables de Identidad de Género y Orientación Sexual)</t>
  </si>
  <si>
    <t>Tabla.N°</t>
  </si>
  <si>
    <t>Contenido</t>
  </si>
  <si>
    <t>Diccionario de Variables de Base a Nivel de Cantón</t>
  </si>
  <si>
    <t xml:space="preserve">Introducción </t>
  </si>
  <si>
    <r>
      <rPr>
        <rFont val="Century Gothic"/>
        <color rgb="FF000000"/>
        <sz val="10.0"/>
      </rPr>
      <t xml:space="preserve">El </t>
    </r>
    <r>
      <rPr>
        <rFont val="Century Gothic"/>
        <b/>
        <color rgb="FF000000"/>
        <sz val="10.0"/>
      </rPr>
      <t>Cuadro N°1</t>
    </r>
    <r>
      <rPr>
        <rFont val="Century Gothic"/>
        <color rgb="FF000000"/>
        <sz val="10.0"/>
      </rPr>
      <t xml:space="preserve">  describe los elementos alfanuméricos que integran la tabla de datos de </t>
    </r>
    <r>
      <rPr>
        <rFont val="Century Gothic"/>
        <b/>
        <color rgb="FF000000"/>
        <sz val="10.0"/>
      </rPr>
      <t xml:space="preserve">Vivienda </t>
    </r>
    <r>
      <rPr>
        <rFont val="Century Gothic"/>
        <color rgb="FF000000"/>
        <sz val="10.0"/>
      </rPr>
      <t xml:space="preserve">de la base a </t>
    </r>
    <r>
      <rPr>
        <rFont val="Century Gothic"/>
        <b/>
        <color rgb="FF000000"/>
        <sz val="10.0"/>
      </rPr>
      <t>nivel cantonal</t>
    </r>
    <r>
      <rPr>
        <rFont val="Century Gothic"/>
        <color rgb="FF000000"/>
        <sz val="10.0"/>
      </rPr>
      <t xml:space="preserve">. Esta tabla contienen </t>
    </r>
    <r>
      <rPr>
        <rFont val="Century Gothic"/>
        <b/>
        <color rgb="FF000000"/>
        <sz val="10.0"/>
      </rPr>
      <t>6.611.555</t>
    </r>
    <r>
      <rPr>
        <rFont val="Century Gothic"/>
        <color rgb="FF000000"/>
        <sz val="10.0"/>
      </rPr>
      <t xml:space="preserve"> registros y </t>
    </r>
    <r>
      <rPr>
        <rFont val="Century Gothic"/>
        <b/>
        <color rgb="FF000000"/>
        <sz val="10.0"/>
      </rPr>
      <t>32</t>
    </r>
    <r>
      <rPr>
        <rFont val="Century Gothic"/>
        <color rgb="FF000000"/>
        <sz val="10.0"/>
      </rPr>
      <t xml:space="preserve"> variables, y se la puede descargar en tres formatos (.csv / .spss / redatam) en los sitios web oficiales de INEC (www.ecuadorencifras.gob.ec) y Censo 2022 (www.censoecuador.gob.ec).</t>
    </r>
  </si>
  <si>
    <t>Cuadro N°:</t>
  </si>
  <si>
    <t>Nombre del Cuadro:</t>
  </si>
  <si>
    <t>Diccionario de variables de la tabla Vivienda</t>
  </si>
  <si>
    <t>CÓDIGO DE VARIABLE</t>
  </si>
  <si>
    <t>NOMBRE DE LA VARIABLE</t>
  </si>
  <si>
    <t>PREGUNTA</t>
  </si>
  <si>
    <t>CATEGORÍAS
(Código y etiqueta)</t>
  </si>
  <si>
    <t>TIPO DE VARIABLE</t>
  </si>
  <si>
    <t>FORMATO DEL DATO</t>
  </si>
  <si>
    <t xml:space="preserve">LONGITUD DEL DATO </t>
  </si>
  <si>
    <t>I01</t>
  </si>
  <si>
    <t>Provincia</t>
  </si>
  <si>
    <t>De acuerdo a Clasificador Geográfico Estadístico</t>
  </si>
  <si>
    <t>Identificación</t>
  </si>
  <si>
    <t xml:space="preserve">Texto </t>
  </si>
  <si>
    <t>I02</t>
  </si>
  <si>
    <t>Identificador de Cantón</t>
  </si>
  <si>
    <t>Cantón</t>
  </si>
  <si>
    <t>De acuerdo a cartografía censal</t>
  </si>
  <si>
    <t>I10</t>
  </si>
  <si>
    <t xml:space="preserve">Número de vivienda </t>
  </si>
  <si>
    <t xml:space="preserve">Número de la vivienda </t>
  </si>
  <si>
    <t>D01</t>
  </si>
  <si>
    <t>Tipo de vía</t>
  </si>
  <si>
    <t>1. Calle
2. Avenida
3. Carretera
4. Pasaje
5. Callejón
6. Sendero
7. Camino
8. Otro</t>
  </si>
  <si>
    <t xml:space="preserve">Estadística Cualitativa </t>
  </si>
  <si>
    <t>Categórico</t>
  </si>
  <si>
    <t>V01</t>
  </si>
  <si>
    <t>Tipo de vivienda</t>
  </si>
  <si>
    <t xml:space="preserve">1. Casa/villa 
2. Departamento en casa o edificio
3. Cuarto/s en casa de inquilinato.
4. Mediagua
5. Rancho
6. Covacha
7. Choza
8. Otra vivienda particular
9. Hotel, pensión, residencial u hostal 
10. Cuartel militar, policía o bomberos 
11 Centro de privación de libertad/cárcel 
12.Hospital, clínica, etc.
13. Convento o institución religiosa 
14. Centro de acogida y protección para niñas/os y adolescentes
15. Residencia de adultos mayores/Asilo de ancianos 
16. Internado de estudiantes 
17. Campamento de trabajo 
18. Otra vivienda colectiva
19. Sin vivienda </t>
  </si>
  <si>
    <t>V0201</t>
  </si>
  <si>
    <t xml:space="preserve">Condición de ocupación de vivienda particular </t>
  </si>
  <si>
    <t>Condición de ocupación de la
vivienda particular</t>
  </si>
  <si>
    <t>1. Ocupada con personas presentes
2. Ocupada con personas ausentes
3. De temporada o vacacional
4. Desocupada
5. En construcción</t>
  </si>
  <si>
    <t>V0202</t>
  </si>
  <si>
    <t>Condición de ocupación de vivienda colectiva</t>
  </si>
  <si>
    <t>Condición de ocupación de la vivienda colectiva</t>
  </si>
  <si>
    <t xml:space="preserve">1. Con residentes habituales 
2. Sin residentes habituales </t>
  </si>
  <si>
    <t>V03</t>
  </si>
  <si>
    <t>Material predominante del techo o cubierta</t>
  </si>
  <si>
    <t>¿El material predominante del techo o cubierta de la vivienda es de:</t>
  </si>
  <si>
    <t>1. Hormigón (losa, cemento)?
2. Fibrocemento, asbesto (eternit, eurolit)?
3. Zinc, aluminio (lámina o plancha metálica)?
4.Teja?
5. Palma, paja u hoja?
6. Otro material?</t>
  </si>
  <si>
    <t>V04</t>
  </si>
  <si>
    <t xml:space="preserve">Estado del techo o cubierta
</t>
  </si>
  <si>
    <t xml:space="preserve">¿El estado del techo o cubierta de la vivienda es:
</t>
  </si>
  <si>
    <t>1. Bueno?
2. Regular?
3. Malo?</t>
  </si>
  <si>
    <t>V05</t>
  </si>
  <si>
    <t>Material predominante de las paredes exteriores</t>
  </si>
  <si>
    <t>¿El material predominante de las paredes exteriores de la vivienda es de:</t>
  </si>
  <si>
    <t>1. Hormigón?
2. Ladrillo o bloque?
3. Panel prefabricado (yeso, fibrocemento, etc.)?
4. Adobe o tapia?
5. Madera?
6. Caña revestida o bahareque?
7. Caña no revestida?
8. Otro material?</t>
  </si>
  <si>
    <t>V06</t>
  </si>
  <si>
    <t>Estado de las paredes exteriores</t>
  </si>
  <si>
    <t>¿El estado de las paredes exteriores de la vivienda es:</t>
  </si>
  <si>
    <t>V07</t>
  </si>
  <si>
    <t>Material predominante del piso</t>
  </si>
  <si>
    <t>¿El material predominante del piso de la vivienda es de:</t>
  </si>
  <si>
    <t>1. Duela, parquet, tablón o piso flotante?
2. Cerámica, baldosa, vinil o porcelanato?
3. Mármol o marmetón?
4. Ladrillo o cemento?
5. Tabla sin tratar?
6. Caña sin tratar?
7. Tierra?
8. Otro material?</t>
  </si>
  <si>
    <t>V08</t>
  </si>
  <si>
    <t>Estado del piso</t>
  </si>
  <si>
    <t>¿El estado del piso de la vivienda es:</t>
  </si>
  <si>
    <t>V09</t>
  </si>
  <si>
    <t>El agua que recibe la vivienda es</t>
  </si>
  <si>
    <t xml:space="preserve">¿El agua que recibe la vivienda es: </t>
  </si>
  <si>
    <t>1. Por tubería, dentro de la vivienda?
2. Por tubería, fuera de la vivienda pero dentro del edificio, lote o terreno?
3. Por tubería, fuera del edificio, lote o terreno?
4. No recibe agua por tubería, sino por otros medios?</t>
  </si>
  <si>
    <t>V10</t>
  </si>
  <si>
    <t>El agua que recibe la vivienda proviene o es suministrada por</t>
  </si>
  <si>
    <t>Principalmente, ¿el agua que recibe la vivienda proviene o es suministrada por:</t>
  </si>
  <si>
    <t>1. Empresa Pública/Municipio?
2. Juntas de Agua/Organizaciones comunitarias/GAD parroquial?
3. Pozo?
4. Carro o tanquero repartidor?
5. Otras fuentes (río, vertiente, acequia, canal, grieta o agua lluvia)?</t>
  </si>
  <si>
    <t>V11</t>
  </si>
  <si>
    <t>El servicio higiénico de la vivienda es</t>
  </si>
  <si>
    <t xml:space="preserve">¿El servicio higiénico de la vivienda es: </t>
  </si>
  <si>
    <t>1.  Inodoro o escusado, conectado a red pública de alcantarillado?
2.  Inodoro o escusado, conectado a pozo séptico?
3. Inodoro o escusado, conectado a biodigestor?
4. Inodoro o escusado, conectado a pozo ciego?
5. Inodoro o escusado, con descarga directa al mar, río, lago o quebrada?
6. Letrina?
7. No tiene</t>
  </si>
  <si>
    <t>V12</t>
  </si>
  <si>
    <t>Disponibilidad de energía eléctrica por red pública</t>
  </si>
  <si>
    <t>¿Dispone la vivienda de luz (energía eléctrica) proveniente de la red pública?</t>
  </si>
  <si>
    <t>1. Sí
2. No</t>
  </si>
  <si>
    <t>V13</t>
  </si>
  <si>
    <t>Disponibilidad de otra fuente de energía eléctrica</t>
  </si>
  <si>
    <t>¿Dispone la vivienda de otra fuente de energía eléctrica distinta a la red pública, cómo:</t>
  </si>
  <si>
    <t>1. Planta eléctrica (generador de luz)?
2. Energía solar (panel fotovoltaico)?
3. Energía eólica (a partir del viento)?
4. Otra fuente (desechos vegetales y animales)?
5. No dispone</t>
  </si>
  <si>
    <t>V14</t>
  </si>
  <si>
    <t>Eliminación de la basura</t>
  </si>
  <si>
    <t>Principalmente, ¿cómo eliminan la basura de la vivienda:</t>
  </si>
  <si>
    <t>1. Por carro recolector?
2. Por contenedor municipal?
3. La arroja en terreno baldío?
4. La quema?
5. La entierra?
6. La arroja al río, acequia, canal o quebrada?
7. De otra forma?</t>
  </si>
  <si>
    <t>V15</t>
  </si>
  <si>
    <t>Número de cuartos</t>
  </si>
  <si>
    <t>Sin contar la cocina, baño(s) y cuartos de negocio, ¿cuántos cuartos tiene la vivienda, incluyendo sala y comedor?</t>
  </si>
  <si>
    <t>1-20</t>
  </si>
  <si>
    <t>Estadística Cuantitativa</t>
  </si>
  <si>
    <t xml:space="preserve">Numérico </t>
  </si>
  <si>
    <t>V16</t>
  </si>
  <si>
    <t>Todas las personas comparten un mismo gasto para la alimentación</t>
  </si>
  <si>
    <t>Todas las personas que viven habitualmente en esta vivienda, ¿comparten un mismo gasto para la alimentación? (olla común)</t>
  </si>
  <si>
    <t>V17</t>
  </si>
  <si>
    <t>Número de hogares</t>
  </si>
  <si>
    <t>Incluyendo su hogar, ¿cuántos grupos de personas  (hogares) mantienen gastos separados para la alimentación? (cocinan los alimentos por separado)</t>
  </si>
  <si>
    <t>1-9</t>
  </si>
  <si>
    <t>Numérico</t>
  </si>
  <si>
    <t>AUR</t>
  </si>
  <si>
    <t>Área urbana o rural</t>
  </si>
  <si>
    <t>Variable derivada - 
Sección I. Ubicación geográfica de la vivienda</t>
  </si>
  <si>
    <t>1. Área Urbana
2. Área Rural</t>
  </si>
  <si>
    <t>CANTON</t>
  </si>
  <si>
    <t>ID_VIV</t>
  </si>
  <si>
    <t>Identificador de la vivienda</t>
  </si>
  <si>
    <t>TOTFALL</t>
  </si>
  <si>
    <t>Total de fallecidos de la vivienda</t>
  </si>
  <si>
    <t>Variable derivada - 
Sección IV. Hogar.
Módulo B. Mortalidad</t>
  </si>
  <si>
    <t>0-99</t>
  </si>
  <si>
    <t>TOTEMI</t>
  </si>
  <si>
    <t>Total de emigrantes de la vivienda</t>
  </si>
  <si>
    <t>Variable derivada - 
Sección IV. Hogar.
Módulo C. Emigración</t>
  </si>
  <si>
    <t>TOTPER</t>
  </si>
  <si>
    <t>Total de personas de la vivienda</t>
  </si>
  <si>
    <t>Variable derivada - 
Sección V. Población</t>
  </si>
  <si>
    <t>0-9999</t>
  </si>
  <si>
    <t>V0201R</t>
  </si>
  <si>
    <t>Condición de ocupación de vivienda particular (recodificada)</t>
  </si>
  <si>
    <t>Condición de ocupación de la
vivienda particular (recodificada)</t>
  </si>
  <si>
    <t>1. Ocupada
2. De temporada o vacacional
3. Desocupada
4. En construcción</t>
  </si>
  <si>
    <t>V15R</t>
  </si>
  <si>
    <t>Número de cuartos (recodificada)</t>
  </si>
  <si>
    <t>Sin contar la cocina, baño(s) y cuartos de negocio, ¿cuántos cuartos tiene la vivienda, incluyendo sala y comedor? (recodificada)</t>
  </si>
  <si>
    <t>1. Un cuarto
2. Dos cuartos
3. Tres cuartos
4. Cuatro cuartos
5. Cinco cuartos
6. Seis o más cuartos</t>
  </si>
  <si>
    <t>DEF_HAB</t>
  </si>
  <si>
    <t>Déficit habitacional</t>
  </si>
  <si>
    <t xml:space="preserve">Variable derivada - 
Se calcula a partir de 6 preguntas del cuestionario, 3 sobre el material perdominante y 3 sobre la percepción del estado del material:
- ¿El material predominante del (techo/paredes/piso) de la vivienda es:
- ¿El estado del (techo/paredes/piso) de la vivienda es:
A partir del cruce entre el material y el estado del mismo, se categorizan los materiales como: a) aceptable b) recuperable y c) irrecuperable. Esta categorización permite a su vez clasificar a las viviendas en a) dignas o aceptables, b) con déficit cualitativo y c) con déficit cuantitativo. Para mayor información sobre este cálculo, consultar la ficha metodológica del déficit habitacional en nuestro sitio web.                      </t>
  </si>
  <si>
    <t>1. Dignas o aceptables
2. Déficit cualitativo (Recuperables)
3. Déficit cuantitativo (Irrecuperables)</t>
  </si>
  <si>
    <t>IMP_VOPA</t>
  </si>
  <si>
    <t>Registro imputado en vivienda ocupada con personas ausentes</t>
  </si>
  <si>
    <t>Variable técnica - 
Sección III. Vivienda.
Condición de ocupación de la vivienda particular
2. Ocupada con personas ausentes</t>
  </si>
  <si>
    <t>Técnica</t>
  </si>
  <si>
    <r>
      <rPr>
        <rFont val="Century Gothic"/>
        <b/>
        <color rgb="FF404040"/>
        <sz val="11.0"/>
      </rPr>
      <t>Elaboración</t>
    </r>
    <r>
      <rPr>
        <rFont val="Century Gothic"/>
        <b/>
        <color rgb="FF404040"/>
        <sz val="11.0"/>
      </rPr>
      <t xml:space="preserve">: </t>
    </r>
    <r>
      <rPr>
        <rFont val="Century Gothic"/>
        <b val="0"/>
        <color rgb="FF404040"/>
        <sz val="11.0"/>
      </rPr>
      <t>Instituto Nacional de Estadística y Censos (INEC)</t>
    </r>
  </si>
  <si>
    <r>
      <rPr>
        <rFont val="Century Gothic"/>
        <color rgb="FF000000"/>
        <sz val="10.0"/>
      </rPr>
      <t xml:space="preserve">El </t>
    </r>
    <r>
      <rPr>
        <rFont val="Century Gothic"/>
        <b/>
        <color rgb="FF000000"/>
        <sz val="10.0"/>
      </rPr>
      <t>Cuadro N°2</t>
    </r>
    <r>
      <rPr>
        <rFont val="Century Gothic"/>
        <color rgb="FF000000"/>
        <sz val="10.0"/>
      </rPr>
      <t xml:space="preserve"> describe los elementos alfanuméricos que integran la tabla de datos de </t>
    </r>
    <r>
      <rPr>
        <rFont val="Century Gothic"/>
        <b/>
        <color rgb="FF000000"/>
        <sz val="10.0"/>
      </rPr>
      <t>Hogar</t>
    </r>
    <r>
      <rPr>
        <rFont val="Century Gothic"/>
        <color rgb="FF000000"/>
        <sz val="10.0"/>
      </rPr>
      <t xml:space="preserve"> de la base a</t>
    </r>
    <r>
      <rPr>
        <rFont val="Century Gothic"/>
        <b/>
        <color rgb="FF000000"/>
        <sz val="10.0"/>
      </rPr>
      <t xml:space="preserve"> nivel cantonal</t>
    </r>
    <r>
      <rPr>
        <rFont val="Century Gothic"/>
        <color rgb="FF000000"/>
        <sz val="10.0"/>
      </rPr>
      <t xml:space="preserve">. Esta tabla contienen </t>
    </r>
    <r>
      <rPr>
        <rFont val="Century Gothic"/>
        <b/>
        <color rgb="FF000000"/>
        <sz val="10.0"/>
      </rPr>
      <t>5.193.548</t>
    </r>
    <r>
      <rPr>
        <rFont val="Century Gothic"/>
        <color rgb="FF000000"/>
        <sz val="10.0"/>
      </rPr>
      <t xml:space="preserve"> registros y </t>
    </r>
    <r>
      <rPr>
        <rFont val="Century Gothic"/>
        <b/>
        <color rgb="FF000000"/>
        <sz val="10.0"/>
      </rPr>
      <t>44</t>
    </r>
    <r>
      <rPr>
        <rFont val="Century Gothic"/>
        <color rgb="FF000000"/>
        <sz val="10.0"/>
      </rPr>
      <t xml:space="preserve"> variables, y se puede descargar en tres formatos (.csv / .spss / redatam) en los sitios web oficiales de INEC (www.ecuadorencifras.gob.ec) y Censo 2022 (www.censoecuador.gob.ec).</t>
    </r>
  </si>
  <si>
    <t>Diccionario de variables de la tabla Hogar</t>
  </si>
  <si>
    <t>INH</t>
  </si>
  <si>
    <t>Número de hogar</t>
  </si>
  <si>
    <t>00-10</t>
  </si>
  <si>
    <t>H01</t>
  </si>
  <si>
    <t>Número de dormitorios</t>
  </si>
  <si>
    <t>Del total de cuartos de este hogar, ¿cuántos son exclusivos para dormir?</t>
  </si>
  <si>
    <t>0-20</t>
  </si>
  <si>
    <t>H02</t>
  </si>
  <si>
    <t>Cuarto o espacio exclusivo para cocinar</t>
  </si>
  <si>
    <t>¿Este hogar tiene cuarto o espacio exclusivo para cocinar?</t>
  </si>
  <si>
    <t>H03</t>
  </si>
  <si>
    <t>Disponibilidad de servicio higiénico, inodoro o escusado</t>
  </si>
  <si>
    <t>¿El servicio higiénico, inodoro o escusado que dispone el hogar es:</t>
  </si>
  <si>
    <t>1. De uso exclusivo del hogar
2. Compartido con varios hogares
3. No tiene</t>
  </si>
  <si>
    <t>H04</t>
  </si>
  <si>
    <t>Disponibilidad de espacio con instalaciones y/o ducha para bañarse</t>
  </si>
  <si>
    <t>¿Dispone este hogar de espacio con instalaciones y/o ducha para bañarse:</t>
  </si>
  <si>
    <t>H05</t>
  </si>
  <si>
    <t>Principal combustible o energía para cocinar</t>
  </si>
  <si>
    <t>¿Cuál es el principal combustible o energía que utiliza este hogar para cocinar:</t>
  </si>
  <si>
    <t>1. Gas de tanque o cilindro
2. Gas centralizado (por tubería)
3. Electricidad
4. Leña o carbón
5. Biogás (residuos vegetales y/o animales, etc.)
6. Otro (Ej: gasolina, kerex, diésel, etc.)
7. Ninguno (no cocina)</t>
  </si>
  <si>
    <t>H06</t>
  </si>
  <si>
    <t>Principalmente, el agua que beben los miembros del hogar</t>
  </si>
  <si>
    <t>¿Principalmente, ¿el agua que beben los miembros del hogar:</t>
  </si>
  <si>
    <t>1. La beben, tal como llega al hogar?
2. La compran (agua envasada en bidón, botella o funda)?
3. La hierven?
4. Le ponen cloro?
5. La filtran (colocan filtros en el grifo o usan purificadores)?
6. Realizan otro tratamiento?</t>
  </si>
  <si>
    <t>H0701</t>
  </si>
  <si>
    <t xml:space="preserve">Acostumbra separar la basura en orgánica e inorgánica
</t>
  </si>
  <si>
    <t xml:space="preserve">¿Este hogar acostumbra:
1. Separar la basura en orgánica (restos de comida, vegetales, etc.) e inorgánica (papel, cartón, plástico, vidrio, etc.)?
</t>
  </si>
  <si>
    <t>H0702</t>
  </si>
  <si>
    <t>Acostumbra separar desperdicios para dar a los animales o plantas</t>
  </si>
  <si>
    <t>¿Este hogar acostumbra:
2. Separar desperdicios para dar a los animales o para las plantas?</t>
  </si>
  <si>
    <t>H0703</t>
  </si>
  <si>
    <t>Acostumbra separar papel, cartón, plástico o vidrio para vender, regalar o reutilizar</t>
  </si>
  <si>
    <t>¿Este hogar acostumbra:
3. Separar papel, cartón, plástico o vidrio para vender, regalar o reutilizar?</t>
  </si>
  <si>
    <t>H0801</t>
  </si>
  <si>
    <t>Tiene este hogar perros</t>
  </si>
  <si>
    <t>¿Tiene este hogar:
1. Perros?</t>
  </si>
  <si>
    <t>H0801N</t>
  </si>
  <si>
    <t>Número de perros</t>
  </si>
  <si>
    <t>¿Tiene este hogar:
1. Perros? cuántos?</t>
  </si>
  <si>
    <t>1-98</t>
  </si>
  <si>
    <t>H0802</t>
  </si>
  <si>
    <t>Tiene este hogar gatos</t>
  </si>
  <si>
    <t>¿Tiene este hogar:
2. gatos?</t>
  </si>
  <si>
    <t>H0802N</t>
  </si>
  <si>
    <t>Número de gatos</t>
  </si>
  <si>
    <t>¿Tiene este hogar:
2. Gatos? cuántos?</t>
  </si>
  <si>
    <t>H09</t>
  </si>
  <si>
    <t>Tenencia de la vivienda</t>
  </si>
  <si>
    <t>¿La vivienda que ocupa este hogar es:</t>
  </si>
  <si>
    <t>1. Propia y totalmente pagada?
2. Propia y la está pagando?
3. Propia (regalada, donada, heredada o por posesión)?
4. Arrendada/anticresis?
5. Prestada o cedida (no paga)?
6. Por servicios?</t>
  </si>
  <si>
    <t>H1001</t>
  </si>
  <si>
    <t>Dispone de servicio de teléfono convencional</t>
  </si>
  <si>
    <t>¿Este hogar dispone de:                                            
1. Servicio de teléfono convencional?</t>
  </si>
  <si>
    <t>H1002</t>
  </si>
  <si>
    <t>Dispone de servicio de teléfono celular</t>
  </si>
  <si>
    <t>¿Este hogar dispone de:                                       
2. Servicio de teléfono celular?</t>
  </si>
  <si>
    <t>H1003</t>
  </si>
  <si>
    <t>Dispone de servicio de televisión pagada</t>
  </si>
  <si>
    <t>¿Este hogar dispone de:                                       
3. Servicio de televisión pagada (cable/satelital, otra)?</t>
  </si>
  <si>
    <t>H1004</t>
  </si>
  <si>
    <t>Dispone de servicio de internet fijo</t>
  </si>
  <si>
    <t>¿Este hogar dispone de:                                       
4. Servicio de internet fijo?</t>
  </si>
  <si>
    <t>H1005</t>
  </si>
  <si>
    <t>Dispone de computadora</t>
  </si>
  <si>
    <t>¿Este hogar dispone de:                                       
5. Computadora (de escritorio o laptop)?</t>
  </si>
  <si>
    <t>H1006</t>
  </si>
  <si>
    <t>Dispone de refrigeradora</t>
  </si>
  <si>
    <t>¿Este hogar dispone de:                                       
6. Refrigeradora?</t>
  </si>
  <si>
    <t>H1007</t>
  </si>
  <si>
    <t>Dispone de máquina lavadora de ropa</t>
  </si>
  <si>
    <t>¿Este hogar dispone de:                                     
7. Máquina lavadora de ropa?</t>
  </si>
  <si>
    <t>H1008</t>
  </si>
  <si>
    <t>Dispone de máquina secadora de ropa</t>
  </si>
  <si>
    <t>¿Este hogar dispone de:                                       
8. Máquina secadora de ropa?</t>
  </si>
  <si>
    <t>H1009</t>
  </si>
  <si>
    <t>Dispone de horno microondas</t>
  </si>
  <si>
    <t>¿Este hogar dispone de:                                       
9. Horno microondas?</t>
  </si>
  <si>
    <t>H1010</t>
  </si>
  <si>
    <t>Dispone de máquina extractora de olores</t>
  </si>
  <si>
    <t>¿Este hogar dispone de:                                
10. Máquina extractora de olores?</t>
  </si>
  <si>
    <t>H1011</t>
  </si>
  <si>
    <t>Dispone de automóvil o camioneta para uso exclusivo</t>
  </si>
  <si>
    <t>¿Este hogar dispone de:                                       
11. Automóvil o camioneta, para uso exclusivo del hogar?</t>
  </si>
  <si>
    <t>H1012</t>
  </si>
  <si>
    <t>Dispone de motocicleta para uso exclusivo</t>
  </si>
  <si>
    <t>¿Este hogar dispone de:                                       
12. Motocicleta, para uso exclusivo del hogar?</t>
  </si>
  <si>
    <t>H11</t>
  </si>
  <si>
    <t>Alguna persona falleció en los últimos tres años (a partir de enero 2020)</t>
  </si>
  <si>
    <t>Incluyendo a recién nacidos y adultos mayores, ¿Alguna persona que vivía en este hogar falleció en los últimos tres años? (a partir de enero de 2020)</t>
  </si>
  <si>
    <t>1. Sí
2. No
9. Se ignora</t>
  </si>
  <si>
    <t>H1101</t>
  </si>
  <si>
    <t>Número de personas fallecidas</t>
  </si>
  <si>
    <t>Incluyendo a recién nacidos y adultos mayores, ¿alguna persona que vivía en este hogar falleció en los últimos tres años? (a partir de enero de 2020)
¿Cuántas?</t>
  </si>
  <si>
    <t xml:space="preserve">1-20
</t>
  </si>
  <si>
    <t>H12</t>
  </si>
  <si>
    <t>Alguna persona viajó a otro país y todavía no regresa (a partir de nov. 2010)</t>
  </si>
  <si>
    <t>A partir del último censo de población y vivienda (noviembre 2010), ¿una o más personas que vivían en este hogar viajaron a otro país y todavía no regresan para quedarse definitivamente?</t>
  </si>
  <si>
    <t>H1201</t>
  </si>
  <si>
    <t>Número de personas emigrantes</t>
  </si>
  <si>
    <t>A partir del último censo de población y vivienda (noviembre 2010), ¿una o más personas que vivían en este hogar viajaron a otro país y todavía no regresan para quedarse definitivamente?                                                  ¿Cuántas?</t>
  </si>
  <si>
    <t>H1301</t>
  </si>
  <si>
    <t>Total de hombres en el hogar</t>
  </si>
  <si>
    <t>¿Cuántas personas viven habitualmente en este hogar, estén o no presentes al momento de la entrevista? Hombres</t>
  </si>
  <si>
    <t>H1302</t>
  </si>
  <si>
    <t>Total de mujeres en el hogar</t>
  </si>
  <si>
    <t>¿Cuántas personas viven habitualmente en este hogar, estén o no presentes al momento de la entrevista? Mujeres</t>
  </si>
  <si>
    <t>H1303</t>
  </si>
  <si>
    <t xml:space="preserve">Total de personas en el hogar </t>
  </si>
  <si>
    <t>¿Cuántas personas viven habitualmente en este hogar, estén o no presentes al momento de la entrevista? Total</t>
  </si>
  <si>
    <t>1-9999</t>
  </si>
  <si>
    <t>H15</t>
  </si>
  <si>
    <t>Existe alguna persona que no haya sido mencionada en el hogar</t>
  </si>
  <si>
    <t>¿Hay alguna persona que no haya sido mencionada porque se encuentra en este momento de: vacaciones, trabajo, enfermedad u otro motivo y que viva habitualmente en este hogar?</t>
  </si>
  <si>
    <t>ID_HOG</t>
  </si>
  <si>
    <t>Identificador del hogar</t>
  </si>
  <si>
    <t>Variable derivada - 
Sección I. Ubicación geográfica de la vivienda.
Sección IV. Hogar</t>
  </si>
  <si>
    <t>H01R</t>
  </si>
  <si>
    <t>Número de dormitorios (recodificada)</t>
  </si>
  <si>
    <t>Variable derivada - 
Del total de cuartos de este hogar, ¿cuántos son exclusivos para dormir?</t>
  </si>
  <si>
    <t>0. Ninguno
1. Un dormitorio
2. Dos dormitorios
3. Tres dormitorios
4. Cuatro dormitorios
5. Cinco dormitorios
6. Seis o más dormitorios</t>
  </si>
  <si>
    <r>
      <rPr>
        <rFont val="Century Gothic"/>
        <b/>
        <color rgb="FF404040"/>
        <sz val="11.0"/>
      </rPr>
      <t>Elaboración</t>
    </r>
    <r>
      <rPr>
        <rFont val="Century Gothic"/>
        <b/>
        <color rgb="FF404040"/>
        <sz val="11.0"/>
      </rPr>
      <t xml:space="preserve">: </t>
    </r>
    <r>
      <rPr>
        <rFont val="Century Gothic"/>
        <b val="0"/>
        <color rgb="FF404040"/>
        <sz val="11.0"/>
      </rPr>
      <t>Instituto Nacional de Estadística y Censos (INEC)</t>
    </r>
  </si>
  <si>
    <r>
      <rPr>
        <rFont val="Century Gothic"/>
        <color rgb="FF000000"/>
        <sz val="10.0"/>
      </rPr>
      <t xml:space="preserve">El </t>
    </r>
    <r>
      <rPr>
        <rFont val="Century Gothic"/>
        <b/>
        <color rgb="FF000000"/>
        <sz val="10.0"/>
      </rPr>
      <t>Cuadro N°3</t>
    </r>
    <r>
      <rPr>
        <rFont val="Century Gothic"/>
        <color rgb="FF000000"/>
        <sz val="10.0"/>
      </rPr>
      <t xml:space="preserve"> describe los elementos alfanuméricos que integran la tabla de datos de </t>
    </r>
    <r>
      <rPr>
        <rFont val="Century Gothic"/>
        <b/>
        <color rgb="FF000000"/>
        <sz val="10.0"/>
      </rPr>
      <t xml:space="preserve">Mortalidad </t>
    </r>
    <r>
      <rPr>
        <rFont val="Century Gothic"/>
        <color rgb="FF000000"/>
        <sz val="10.0"/>
      </rPr>
      <t>de la base a</t>
    </r>
    <r>
      <rPr>
        <rFont val="Century Gothic"/>
        <b/>
        <color rgb="FF000000"/>
        <sz val="10.0"/>
      </rPr>
      <t xml:space="preserve"> nivel cantonal</t>
    </r>
    <r>
      <rPr>
        <rFont val="Century Gothic"/>
        <color rgb="FF000000"/>
        <sz val="10.0"/>
      </rPr>
      <t xml:space="preserve">. Esta tabla contienen </t>
    </r>
    <r>
      <rPr>
        <rFont val="Century Gothic"/>
        <b/>
        <color rgb="FF000000"/>
        <sz val="10.0"/>
      </rPr>
      <t>250.746</t>
    </r>
    <r>
      <rPr>
        <rFont val="Century Gothic"/>
        <color rgb="FF000000"/>
        <sz val="10.0"/>
      </rPr>
      <t xml:space="preserve"> registros y </t>
    </r>
    <r>
      <rPr>
        <rFont val="Century Gothic"/>
        <b/>
        <color rgb="FF000000"/>
        <sz val="10.0"/>
      </rPr>
      <t>16</t>
    </r>
    <r>
      <rPr>
        <rFont val="Century Gothic"/>
        <color rgb="FF000000"/>
        <sz val="10.0"/>
      </rPr>
      <t xml:space="preserve"> variables, y se la puede descargar en tres formatos (.csv / .spss / redatam) en los sitios web oficiales de INEC (www.ecuadorencifras.gob.ec) y Censo 2022 (www.censoecuador.gob.ec).</t>
    </r>
  </si>
  <si>
    <t>Diccionario de variables de la tabla Mortalidad</t>
  </si>
  <si>
    <t>M00</t>
  </si>
  <si>
    <t xml:space="preserve">Número de la persona fallecida </t>
  </si>
  <si>
    <t>Número persona</t>
  </si>
  <si>
    <t xml:space="preserve">01-20
</t>
  </si>
  <si>
    <t>M0201</t>
  </si>
  <si>
    <t>Mes de fallecimiento</t>
  </si>
  <si>
    <t>¿En qué mes y año murió?                                    
mes</t>
  </si>
  <si>
    <t>1. Enero
2. Febrero	
3. Marzo	
4. Abril
5. Mayo	
6. Junio	
7. Julio	
8. Agosto	
9. Septiembre	
10. Octubre	
11. Noviembre	
12. Diciembre
99 Se ignora</t>
  </si>
  <si>
    <t>M0202</t>
  </si>
  <si>
    <t>Año de fallecimiento</t>
  </si>
  <si>
    <t>¿En qué mes y año murió?                                 
año</t>
  </si>
  <si>
    <t>2020-2023
9999 Se ignora</t>
  </si>
  <si>
    <t>M03</t>
  </si>
  <si>
    <t>Edad al fallecer</t>
  </si>
  <si>
    <t>¿Qué edad tenía?</t>
  </si>
  <si>
    <t>0-120
0 Menores de 1 año
999 Se ignora</t>
  </si>
  <si>
    <t>M04</t>
  </si>
  <si>
    <t>Sexo del fallecido</t>
  </si>
  <si>
    <t>¿Cuál era su sexo?</t>
  </si>
  <si>
    <t>1. Hombre
2. Mujer</t>
  </si>
  <si>
    <t>Estadística Cualitativa</t>
  </si>
  <si>
    <t>M05</t>
  </si>
  <si>
    <t>Murió estando embarazada, en el parto o dentro de los 42 días posteriores al parto</t>
  </si>
  <si>
    <t>¿Murió estando embarazada, en el parto o dentro de los 42 días posteriores al parto?</t>
  </si>
  <si>
    <t>M06</t>
  </si>
  <si>
    <t>Causa de fallecimiento</t>
  </si>
  <si>
    <t>¿Murió a causa de:</t>
  </si>
  <si>
    <t>1. Accidente, suicidio o asesinato
2. COVID-19
3. Otros? (Ej: enfermedad, causa natural)
9. Se ignora</t>
  </si>
  <si>
    <t>ID_FALL</t>
  </si>
  <si>
    <t>Identificador de persona fallecida</t>
  </si>
  <si>
    <t>Variable derivada - 
Sección I. Ubicación geográfica de la vivienda.
Sección IV. Hogar
Módulo B. Mortalidad.</t>
  </si>
  <si>
    <r>
      <rPr>
        <rFont val="Century Gothic"/>
        <b/>
        <color rgb="FF404040"/>
        <sz val="11.0"/>
      </rPr>
      <t>Elaboración</t>
    </r>
    <r>
      <rPr>
        <rFont val="Century Gothic"/>
        <b/>
        <color rgb="FF404040"/>
        <sz val="11.0"/>
      </rPr>
      <t xml:space="preserve">: </t>
    </r>
    <r>
      <rPr>
        <rFont val="Century Gothic"/>
        <b val="0"/>
        <color rgb="FF404040"/>
        <sz val="11.0"/>
      </rPr>
      <t>Instituto Nacional de Estadística y Censos (INEC)</t>
    </r>
  </si>
  <si>
    <r>
      <rPr>
        <rFont val="Century Gothic"/>
        <color rgb="FF000000"/>
        <sz val="10.0"/>
      </rPr>
      <t xml:space="preserve">El </t>
    </r>
    <r>
      <rPr>
        <rFont val="Century Gothic"/>
        <b/>
        <color rgb="FF000000"/>
        <sz val="10.0"/>
      </rPr>
      <t>Cuadro N°4</t>
    </r>
    <r>
      <rPr>
        <rFont val="Century Gothic"/>
        <color rgb="FF000000"/>
        <sz val="10.0"/>
      </rPr>
      <t xml:space="preserve">  describe los elementos alfanuméricos que integran la tabla de datos de </t>
    </r>
    <r>
      <rPr>
        <rFont val="Century Gothic"/>
        <b/>
        <color rgb="FF000000"/>
        <sz val="10.0"/>
      </rPr>
      <t xml:space="preserve">Emigración </t>
    </r>
    <r>
      <rPr>
        <rFont val="Century Gothic"/>
        <color rgb="FF000000"/>
        <sz val="10.0"/>
      </rPr>
      <t xml:space="preserve">de la base a </t>
    </r>
    <r>
      <rPr>
        <rFont val="Century Gothic"/>
        <b/>
        <color rgb="FF000000"/>
        <sz val="10.0"/>
      </rPr>
      <t>nivel cantonal</t>
    </r>
    <r>
      <rPr>
        <rFont val="Century Gothic"/>
        <color rgb="FF000000"/>
        <sz val="10.0"/>
      </rPr>
      <t xml:space="preserve">. Esta tabla contienen </t>
    </r>
    <r>
      <rPr>
        <rFont val="Century Gothic"/>
        <b/>
        <color rgb="FF000000"/>
        <sz val="10.0"/>
      </rPr>
      <t>124.992</t>
    </r>
    <r>
      <rPr>
        <rFont val="Century Gothic"/>
        <color rgb="FF000000"/>
        <sz val="10.0"/>
      </rPr>
      <t xml:space="preserve"> registros y </t>
    </r>
    <r>
      <rPr>
        <rFont val="Century Gothic"/>
        <b/>
        <color rgb="FF000000"/>
        <sz val="10.0"/>
      </rPr>
      <t>14</t>
    </r>
    <r>
      <rPr>
        <rFont val="Century Gothic"/>
        <color rgb="FF000000"/>
        <sz val="10.0"/>
      </rPr>
      <t xml:space="preserve"> variables, y se la puede descargar en tres formatos (.csv / .spss / redatam) en los sitios web oficiales de INEC (www.ecuadorencifras.gob.ec) y Censo 2022 (www.censoecuador.gob.ec).</t>
    </r>
  </si>
  <si>
    <t>Diccionario de variables de la tabla Emigración</t>
  </si>
  <si>
    <t>E00</t>
  </si>
  <si>
    <t>Número de la persona emigrante</t>
  </si>
  <si>
    <t>01-20</t>
  </si>
  <si>
    <t>E01</t>
  </si>
  <si>
    <t>Año de salida</t>
  </si>
  <si>
    <t>¿En qué año salió del país?</t>
  </si>
  <si>
    <t>2010-2023
9999. Se ignora</t>
  </si>
  <si>
    <t>E02</t>
  </si>
  <si>
    <t>Sexo del emigrante</t>
  </si>
  <si>
    <t>¿Cuál es el sexo?</t>
  </si>
  <si>
    <t>E03</t>
  </si>
  <si>
    <t>Edad al salir</t>
  </si>
  <si>
    <t>¿Qué edad tenía al salir del país?</t>
  </si>
  <si>
    <t>0-98
0 Menores de 1 año
999 Se ignora</t>
  </si>
  <si>
    <t>E04</t>
  </si>
  <si>
    <t>País actual de residencia</t>
  </si>
  <si>
    <t>¿Cuál es el país actual de residencia?</t>
  </si>
  <si>
    <t>De acuerdo al Código Uniforme de Países para uso Estadístico
999999 Se ignora</t>
  </si>
  <si>
    <t>ID_EMI</t>
  </si>
  <si>
    <t>Identificador de persona emigrante</t>
  </si>
  <si>
    <t>Variable derivada - 
Sección I. Ubicación geográfica de la vivienda.
Sección IV. Hogar
Módulo C. Emigración</t>
  </si>
  <si>
    <r>
      <rPr>
        <rFont val="Century Gothic"/>
        <b/>
        <color rgb="FF404040"/>
        <sz val="11.0"/>
      </rPr>
      <t>Elaboración</t>
    </r>
    <r>
      <rPr>
        <rFont val="Century Gothic"/>
        <b/>
        <color rgb="FF404040"/>
        <sz val="11.0"/>
      </rPr>
      <t xml:space="preserve">: </t>
    </r>
    <r>
      <rPr>
        <rFont val="Century Gothic"/>
        <b val="0"/>
        <color rgb="FF404040"/>
        <sz val="11.0"/>
      </rPr>
      <t>Instituto Nacional de Estadística y Censos (INEC)</t>
    </r>
  </si>
  <si>
    <r>
      <rPr>
        <rFont val="Century Gothic"/>
        <color rgb="FF000000"/>
        <sz val="10.0"/>
      </rPr>
      <t xml:space="preserve">El </t>
    </r>
    <r>
      <rPr>
        <rFont val="Century Gothic"/>
        <b/>
        <color rgb="FF000000"/>
        <sz val="10.0"/>
      </rPr>
      <t>Cuadro N°5</t>
    </r>
    <r>
      <rPr>
        <rFont val="Century Gothic"/>
        <color rgb="FF000000"/>
        <sz val="10.0"/>
      </rPr>
      <t xml:space="preserve">  describe los elementos alfanuméricos que integran la tabla de datos de </t>
    </r>
    <r>
      <rPr>
        <rFont val="Century Gothic"/>
        <b/>
        <color rgb="FF000000"/>
        <sz val="10.0"/>
      </rPr>
      <t xml:space="preserve">Población </t>
    </r>
    <r>
      <rPr>
        <rFont val="Century Gothic"/>
        <color rgb="FF000000"/>
        <sz val="10.0"/>
      </rPr>
      <t xml:space="preserve">de la base a </t>
    </r>
    <r>
      <rPr>
        <rFont val="Century Gothic"/>
        <b/>
        <color rgb="FF000000"/>
        <sz val="10.0"/>
      </rPr>
      <t>nivel cantonal</t>
    </r>
    <r>
      <rPr>
        <rFont val="Century Gothic"/>
        <color rgb="FF000000"/>
        <sz val="10.0"/>
      </rPr>
      <t xml:space="preserve"> que incluye las </t>
    </r>
    <r>
      <rPr>
        <rFont val="Century Gothic"/>
        <b/>
        <color rgb="FF000000"/>
        <sz val="10.0"/>
      </rPr>
      <t>variables de identidad de género y orientación sexual</t>
    </r>
    <r>
      <rPr>
        <rFont val="Century Gothic"/>
        <color rgb="FF000000"/>
        <sz val="10.0"/>
      </rPr>
      <t xml:space="preserve">. Esta tabla contienen </t>
    </r>
    <r>
      <rPr>
        <rFont val="Century Gothic"/>
        <b/>
        <color rgb="FF000000"/>
        <sz val="10.0"/>
      </rPr>
      <t>16.938.986</t>
    </r>
    <r>
      <rPr>
        <rFont val="Century Gothic"/>
        <color rgb="FF000000"/>
        <sz val="10.0"/>
      </rPr>
      <t xml:space="preserve"> registros y </t>
    </r>
    <r>
      <rPr>
        <rFont val="Century Gothic"/>
        <b/>
        <color rgb="FF000000"/>
        <sz val="10.0"/>
      </rPr>
      <t>93</t>
    </r>
    <r>
      <rPr>
        <rFont val="Century Gothic"/>
        <color rgb="FF000000"/>
        <sz val="10.0"/>
      </rPr>
      <t xml:space="preserve"> variables, y se la puede descargar en tres formatos (.csv / .spss / redatam) en los sitios web oficiales de INEC (www.ecuadorencifras.gob.ec) y Censo 2022 (www.censoecuador.gob.ec).</t>
    </r>
  </si>
  <si>
    <t>Diccionario de variables de la tabla Población</t>
  </si>
  <si>
    <t>Ajustes Dataset INEC</t>
  </si>
  <si>
    <t>P00</t>
  </si>
  <si>
    <t>Número de persona</t>
  </si>
  <si>
    <t>0001-9999</t>
  </si>
  <si>
    <t>P01</t>
  </si>
  <si>
    <t>Parentesco o relación con el representante del hogar</t>
  </si>
  <si>
    <t>¿Qué parentesco o relación tiene (...)  con la/el representante del hogar?</t>
  </si>
  <si>
    <t>1. Representante del hogar
2. Cónyuge o conviviente
3. Hija o hijo
4. Hijastra o hijastro
5. Nuera o yerno
6. Nieta o nieto
7. Madre o padre
8. Suegra o suegro
9. Otro pariente
10. Otro no pariente
11. Empleada/o doméstica/o
12. Miembro de hogar colectivo
13. Persona sin vivienda</t>
  </si>
  <si>
    <t>P02</t>
  </si>
  <si>
    <t>Sexo al nacer</t>
  </si>
  <si>
    <t>¿Cuál fue el sexo de (…) al nacer:</t>
  </si>
  <si>
    <t>1. Hombre?
2. Mujer?</t>
  </si>
  <si>
    <t>P03</t>
  </si>
  <si>
    <t>Años cumplidos</t>
  </si>
  <si>
    <t>¿Cuántos años cumplidos tiene (…)?</t>
  </si>
  <si>
    <t>0-120
0 Menores de 1 año</t>
  </si>
  <si>
    <t>P0402</t>
  </si>
  <si>
    <t>Mes de nacimiento</t>
  </si>
  <si>
    <t>¿Cuál es la fecha de nacimiento de (…)? Mes</t>
  </si>
  <si>
    <t>1-12;
99</t>
  </si>
  <si>
    <t>P0403</t>
  </si>
  <si>
    <t>Año de nacimiento</t>
  </si>
  <si>
    <t>¿Cuál es la fecha de nacimiento de (…)?   Año</t>
  </si>
  <si>
    <t>1902-2022;
9999
Blanco</t>
  </si>
  <si>
    <t>P05</t>
  </si>
  <si>
    <t>Inscrito en el Registro Civil Ecuatoriano</t>
  </si>
  <si>
    <t>(…) Está inscrita/o en el registro civil ecuatoriano?</t>
  </si>
  <si>
    <t>P0601</t>
  </si>
  <si>
    <t>Tiene número de cédula de ciudadanía o de identidad ecuatoriana</t>
  </si>
  <si>
    <t>(…) Tiene número de cédula de ciudadanía o de identidad ecuatoriana?</t>
  </si>
  <si>
    <t>P0602</t>
  </si>
  <si>
    <t>Tiene otro documento de identidad</t>
  </si>
  <si>
    <t xml:space="preserve">(…) Tiene número de cédula de ciudadanía o de identidad ecuatoriana?
2.    No
2.1 ¿Tiene: </t>
  </si>
  <si>
    <t>1. Pasaporte u otro documento de identidad de su país de origen?
2. No tiene documento alguno?</t>
  </si>
  <si>
    <t>P0701</t>
  </si>
  <si>
    <t>Tiene dificultad permanente para caminar, subir o bajar gradas/escaleras</t>
  </si>
  <si>
    <t xml:space="preserve">¿Tiene (…) dificultad permanente para:
1. Caminar o subir o bajar gradas/escaleras?                 </t>
  </si>
  <si>
    <t>1. No tiene dificultad
2. Alguna dificultad
3. Mucha dificultad
4. Total dificultad
9. Se ignora</t>
  </si>
  <si>
    <t>P0702</t>
  </si>
  <si>
    <t>Tiene dificultad permanente para bañarse, vestirse o alimentarse por sí mismo</t>
  </si>
  <si>
    <t xml:space="preserve">¿Tiene (…) dificultad permanente para:
2. Bañarse, vestirse, alimentarse por sí mismo?              </t>
  </si>
  <si>
    <t>P0703</t>
  </si>
  <si>
    <t>Tiene dificultad permanente para hablar, comunicarse o conversar</t>
  </si>
  <si>
    <t xml:space="preserve">¿Tiene (…) dificultad permanente para:
3. Hablar, comunicarse o conversar?            </t>
  </si>
  <si>
    <t>P0704</t>
  </si>
  <si>
    <t>Tiene dificultad permanente para oír, aun usando aparato auditivo</t>
  </si>
  <si>
    <t xml:space="preserve">¿Tiene (…) dificultad permanente para:
4. Oír, aun usando aparato auditivo?      </t>
  </si>
  <si>
    <t>P0705</t>
  </si>
  <si>
    <t>Tiene dificultad permanente para ver, aun usando lentes</t>
  </si>
  <si>
    <t>¿Tiene (…) dificultad permanente para:
5. Ver, aun usando lentes?</t>
  </si>
  <si>
    <t>P0706</t>
  </si>
  <si>
    <t>Tiene dificultad permanente para recordar, entender o concentrase</t>
  </si>
  <si>
    <t xml:space="preserve">¿Tiene (…) dificultad permanente para:
6. Recordar, entender o concentrarse?  </t>
  </si>
  <si>
    <t>P08</t>
  </si>
  <si>
    <t>En dónde nació</t>
  </si>
  <si>
    <t>¿En donde nació (…):</t>
  </si>
  <si>
    <t>1. En esta ciudad o parroquia rural?
2. En otro lugar del país?
3. En otro país?</t>
  </si>
  <si>
    <t>P08P</t>
  </si>
  <si>
    <t>Provincia de nacimiento</t>
  </si>
  <si>
    <t>De acuerdo al Clasificador Geográfico Estadístico y al Código Uniforme de Países para uso Estadístico</t>
  </si>
  <si>
    <t>P08C</t>
  </si>
  <si>
    <t>Cantón de nacimiento</t>
  </si>
  <si>
    <t>P08Q</t>
  </si>
  <si>
    <t>Ciudad o parroquia de nacimiento</t>
  </si>
  <si>
    <t>Parroquia o país de nacimiento</t>
  </si>
  <si>
    <t>P0803A</t>
  </si>
  <si>
    <t>En que año llegó al Ecuador</t>
  </si>
  <si>
    <t>¿En dónde nació (…): 
3.      En otro país 
3.2 ¿En qué año llegó al Ecuador?</t>
  </si>
  <si>
    <t>1902-2023;
9999  Se ignora</t>
  </si>
  <si>
    <t>P09</t>
  </si>
  <si>
    <t>Hace 5 años en que lugar vivía habitualmente</t>
  </si>
  <si>
    <t>Hace 5 años (noviembre del 2017)  ¿En qué lugar vivía habitualmente (…):</t>
  </si>
  <si>
    <t>1. En esta ciudad o parroquia rural?
2. En otro lugar del país?
3. En otro país?
4.No había nacido?</t>
  </si>
  <si>
    <t>P09P</t>
  </si>
  <si>
    <t>Provincia dónde vivía hace 5 años</t>
  </si>
  <si>
    <t>P09C</t>
  </si>
  <si>
    <t>Cantón dónde vivía hace 5 años</t>
  </si>
  <si>
    <t>P09Q</t>
  </si>
  <si>
    <t>Ciudad o parroquia dónde vivía hace 5 años</t>
  </si>
  <si>
    <t>Parroquia o país dónde vivía hace 5 años</t>
  </si>
  <si>
    <t>P1001</t>
  </si>
  <si>
    <t>Habla o se comunica en idioma o lengua indígena</t>
  </si>
  <si>
    <t>¿En qué idiomas o lenguas habla o se comunica (…):
1. Indígena</t>
  </si>
  <si>
    <t xml:space="preserve">1. Indígena? </t>
  </si>
  <si>
    <t>P1002</t>
  </si>
  <si>
    <t>Habla o se comunica en idioma castellano/español</t>
  </si>
  <si>
    <t>¿En qué idiomas o lenguas habla o se comunica (…):
2. Castellano/español</t>
  </si>
  <si>
    <t>2. Castellano/Español?</t>
  </si>
  <si>
    <t>P1003</t>
  </si>
  <si>
    <t>Habla o se comunica en idioma extranjero</t>
  </si>
  <si>
    <t>¿En qué idiomas o lenguas habla o se comunica (…):
3. Idioma extranjero?</t>
  </si>
  <si>
    <t>3. Idioma extranjero?</t>
  </si>
  <si>
    <t>P1004</t>
  </si>
  <si>
    <t>Se comunica en lengua de señas ecuatoriana</t>
  </si>
  <si>
    <t>¿En qué idiomas o lenguas habla o se comunica (…):
4. Lengua de señas ecuatoriana?</t>
  </si>
  <si>
    <t>4. Lengua de señas ecuatoriana?</t>
  </si>
  <si>
    <t>P1005</t>
  </si>
  <si>
    <t>No habla/ No se comunica</t>
  </si>
  <si>
    <t>¿En qué idiomas o lenguas habla o se comunica (…):
5. No habla/No se comunica?</t>
  </si>
  <si>
    <t>5. No habla/ No se comunica?</t>
  </si>
  <si>
    <t>P1001I</t>
  </si>
  <si>
    <t>Idioma o lengua indígena que habla</t>
  </si>
  <si>
    <t>¿En qué idiomas o lenguas habla o se comunica (…)?
1. Indígena
1.1. ¿Cuál es el idioma o lengua indígena que habla (…)?</t>
  </si>
  <si>
    <t>De acuerdo al clasificador de idiomas o lenguas indígenas</t>
  </si>
  <si>
    <t>P11R</t>
  </si>
  <si>
    <t>Cómo se identifica según su cultura y costumbres - Validada</t>
  </si>
  <si>
    <t xml:space="preserve">¿Cómo se identifica (…) según su cultura y costumbres: 
</t>
  </si>
  <si>
    <t>1. Indígena?
2. Afroecuatoriana/o, Afrodescendiente?
3. Negra/o? 
4. Mulata/o?
5. Montubia/o?
6. Mestiza/o?
7. Blanca/o?
8. Otro?</t>
  </si>
  <si>
    <t>P1108</t>
  </si>
  <si>
    <t>Otra identificación según su cultura y costumbres</t>
  </si>
  <si>
    <t>¿Cómo se identifica (…) según su cultura y costumbres:
8.1¿Cómo se identifica (…)?</t>
  </si>
  <si>
    <t>De acuerdo al clasificador de Otra identificación según su cultura y costumbres</t>
  </si>
  <si>
    <t>P12</t>
  </si>
  <si>
    <t>Nacionalidad o Pueblo Indígena al que pertenece - Validada</t>
  </si>
  <si>
    <t>¿Cuál es la nacionalidad o pueblo indígena al que pertenece (…)?</t>
  </si>
  <si>
    <t>De acuerdo al clasificador de nacionalidades y pueblos indígenas
99. Se ignora</t>
  </si>
  <si>
    <t>P13</t>
  </si>
  <si>
    <t>La mamá o el papá, habla o hablaba idioma indígena</t>
  </si>
  <si>
    <t>¿La mamá o el papá de (…) habla o hablaba algún idioma indígena?</t>
  </si>
  <si>
    <t>P14</t>
  </si>
  <si>
    <t>Asiste a algun estalecimiento de educación especial para personas con discapacidad</t>
  </si>
  <si>
    <t>¿Asiste (…) actualmente a un establecimiento de educación especial para personas con discapacidad?</t>
  </si>
  <si>
    <t>1. Si
2. No
9. No sabe/No responde</t>
  </si>
  <si>
    <t>P15</t>
  </si>
  <si>
    <t>Asiste actualmente a educación regular o formal</t>
  </si>
  <si>
    <t>¿Asiste (…) actualmente a la educación regular o formal?</t>
  </si>
  <si>
    <t>P16</t>
  </si>
  <si>
    <t>El establecimiento de enseñanza al que asiste es</t>
  </si>
  <si>
    <t>¿El establecimiento de enseñanza al que asiste (…) es:</t>
  </si>
  <si>
    <t>1. Fiscal (del Estado)?
2. Particular (privado)?
3. Fiscomisional?
4. Municipal?</t>
  </si>
  <si>
    <t>P17R</t>
  </si>
  <si>
    <t>Nivel de instrucción más alto al que asiste o asistió - Recodificada</t>
  </si>
  <si>
    <t>¿Cuál es el nivel de instrucción más alto al que asiste o asistió (…)? (recodificada)</t>
  </si>
  <si>
    <t>1. Ninguno
2. Centro de Desarrollo Infantil/Creciendo con nuestros hijos/Guardería
3. Educación inicial/Preescolar/SAFPI
4. Alfabetización/Post Alfabetización
5. Educación General Básica
6. Bachillerato
7. Ciclo Postbachillerato (No superior)
8. Educación Técnica o Tecnológica Superior (institutos superiores técnicos y tecnológicos)
9. Educación Superior (universidades, escuelas politécnicas)
10. Maestría/ Especialización
11. PHD/ Doctorado</t>
  </si>
  <si>
    <t>P18R</t>
  </si>
  <si>
    <t>Grado, curso o año más alto que aprobó - Recodificada</t>
  </si>
  <si>
    <t>En el nivel que indica, ¿cuál es el grado, curso o año más alto que aprobó (...)? (recodificada)</t>
  </si>
  <si>
    <t xml:space="preserve">0. Cero años aprobados
1. Un año aprobado
2. Dos años aprobados
3. Tres años aprobados
…
10. Diez años aprobados
</t>
  </si>
  <si>
    <t xml:space="preserve">Estadística Cuantitativa </t>
  </si>
  <si>
    <t>P19</t>
  </si>
  <si>
    <t>Sabe leer y escribir - Original</t>
  </si>
  <si>
    <t>¿Sabe (…) leer y escribir? (Tiene correspondencia con la P17 y P18)</t>
  </si>
  <si>
    <t>P20</t>
  </si>
  <si>
    <t>Obtuvo algún título en el nivel que indica</t>
  </si>
  <si>
    <t>¿(…)Obtuvo algún título en el nivel que indica?</t>
  </si>
  <si>
    <t>P2101</t>
  </si>
  <si>
    <t>En los últimos tres meses ha utilizado teléfono celular</t>
  </si>
  <si>
    <t>¿En los últimos 3 meses (…) ha utilizado:
1. Teléfono celular?</t>
  </si>
  <si>
    <t>P2102</t>
  </si>
  <si>
    <t>En los últimos tres meses ha utilizado internet</t>
  </si>
  <si>
    <t>¿En los últimos 3 meses (…) ha utilizado:
2. Internet?</t>
  </si>
  <si>
    <t>P2103</t>
  </si>
  <si>
    <t>En los últimos tres meses ha utilizado computador o laptop</t>
  </si>
  <si>
    <t>¿En los últimos 3 meses (…) ha utilizado:
3. Computadora o laptop?</t>
  </si>
  <si>
    <t>P2104</t>
  </si>
  <si>
    <t>En los últimos tres meses ha utilizado tablet</t>
  </si>
  <si>
    <t>¿En los últimos 3 meses (…) ha utilizado:
4. Tablet?</t>
  </si>
  <si>
    <t>P22</t>
  </si>
  <si>
    <t>La semana pasada</t>
  </si>
  <si>
    <t>La semana pasada (…):</t>
  </si>
  <si>
    <t>1.  Trabajó al menos una hora para generar un ingreso?
2. Realizó algún trabajo ocasional (cachuelo o chaucha) por un pago?
3. Atendió un negocio propio?
4. Ayudó en algún negocio o empleo de algún miembro de su hogar?
5. No trabajó, pero SI tiene un trabajo al que seguro va a volver? (por vacaciones, enfermedad, etc.)
6. Hizo o ayudó en labores agrícolas, cría de animales o pesca?
7. No trabajó</t>
  </si>
  <si>
    <t>P23</t>
  </si>
  <si>
    <t>El trabajo que realizó fue en labores agrícolas, cría de animales o pesca</t>
  </si>
  <si>
    <t>¿El trabajo que realizó (...) fue en labores agrícolas, cría de animales o pesca?</t>
  </si>
  <si>
    <t>P24</t>
  </si>
  <si>
    <t>Los productos agrícolas o la cría de animales en los que trabajó, fueron</t>
  </si>
  <si>
    <t>¿Los productos agrícolas o la cría de animales en los que trabajó (...), fueron:</t>
  </si>
  <si>
    <t xml:space="preserve">1. Todo para la venta?
2. La mayor parte para la venta?
3. La mayor parte para consumo del hogar? 
4. Todo para consumo del hogar? </t>
  </si>
  <si>
    <t>P25</t>
  </si>
  <si>
    <t>En las últimas cuatro semanas, hizo alguna gestión para buscar trabajo y está disponible</t>
  </si>
  <si>
    <t>En las últimas cuatro semanas, ¿hizo (...) alguna gestión para buscar trabajo y está disponible para trabajar?</t>
  </si>
  <si>
    <t>Q50_MotivoNoTrabajo</t>
  </si>
  <si>
    <t>P26</t>
  </si>
  <si>
    <t>Si no trabajó ni ha buscado trabajo</t>
  </si>
  <si>
    <t>¿Si no trabajó ni ha buscado trabajo (...):</t>
  </si>
  <si>
    <t>1. Es rentista?
2. Es jubilada/o o pensionista?
3. Es estudiante?
4. Realiza quehaceres del hogar?
5. Le impide trabajar su discapacidad?
6. Otro?</t>
  </si>
  <si>
    <t>99 - No aplica</t>
  </si>
  <si>
    <t>P27</t>
  </si>
  <si>
    <t>Ocupación o tarea que realiza</t>
  </si>
  <si>
    <t>En su trabajo principal, ¿cuál es la ocupación o tarea que realiza (...)?</t>
  </si>
  <si>
    <t>De acuerdo a la Clasificación Internacional Uniforme de Ocupaciones CIUO Rev. 08
9999. Se ignora</t>
  </si>
  <si>
    <t>P28</t>
  </si>
  <si>
    <t>Actividad económica del negocio, empresa o lugar donde trabaja</t>
  </si>
  <si>
    <t>¿A qué se dedica o qué produce principalmente el negocio, empresa o  lugar donde trabaja (…)?</t>
  </si>
  <si>
    <t>De acuerdo a la Clasificación Industrial Internacional de Actividades Económicas CIIU 04
9999. Se ignora</t>
  </si>
  <si>
    <t>Q47_Ocupación</t>
  </si>
  <si>
    <t>P29</t>
  </si>
  <si>
    <t>Categoría de ocupación</t>
  </si>
  <si>
    <t xml:space="preserve">¿En el trabajo o negocio que indica (…), es: </t>
  </si>
  <si>
    <t>1. Empleada/o u obrera/o privado?
2. Empleada/o u obrera/o del Estado, Gobierno, Municipio, Consejo Provincial, Junta Parroquial?
3. Jornalera/o o peón?
4. Empleada/o doméstica/o?
5. Patrona/o?
6. Cuenta propia?
7. Socia/o?
8. Trabajadora/or familiar no remunerada/o?
9. Se ignora</t>
  </si>
  <si>
    <t>9 y 99 No Aplica</t>
  </si>
  <si>
    <t>P30</t>
  </si>
  <si>
    <t>Aporta actualmente</t>
  </si>
  <si>
    <t xml:space="preserve">¿(...) Aporta actualmente al:                                        </t>
  </si>
  <si>
    <t>1. IESS Seguro General?
2. IESS Seguro Voluntario?
3. IESS Seguro Campesino?
4. Seguro ISSFA?
5. Seguro ISSPOL?
6. No aporta, es Jubilada/o del IESS/ISSFA/ ISSPOL?
7. No aporta?
9. Se ignora</t>
  </si>
  <si>
    <t>P31</t>
  </si>
  <si>
    <t>Estado conyugal</t>
  </si>
  <si>
    <t>¿Actualmente el estado conyugal de (...) es:</t>
  </si>
  <si>
    <t>1. Unida/o?
2. Separada/o?
3. Divorciada/o?
4. Viuda/o?
5. Casada/o?
6. Soltera/o?</t>
  </si>
  <si>
    <t>P3201</t>
  </si>
  <si>
    <t>Número de hijas nacidas vivas</t>
  </si>
  <si>
    <t>¿Cuántas hijas e hijos nacidos vivos ha tenido (…) durante toda su vida?
Mujeres</t>
  </si>
  <si>
    <t>0 a 20
0 Ninguno
99 No sabe</t>
  </si>
  <si>
    <t>P3202</t>
  </si>
  <si>
    <t>Número de hijos nacidos vivos</t>
  </si>
  <si>
    <t>¿Cuántas hijas e hijos nacidos vivos ha tenido (…) durante toda su vida?
Hombres</t>
  </si>
  <si>
    <t>P3203</t>
  </si>
  <si>
    <t>Número de hijas e hijos nacidos vivos</t>
  </si>
  <si>
    <t>¿Cuántas hijas e hijos nacidos vivos ha tenido (…) durante toda su vida?
Total</t>
  </si>
  <si>
    <t>P3301</t>
  </si>
  <si>
    <t>Número de hijas vivas actualmente</t>
  </si>
  <si>
    <t>¿Cuántos están vivos actualmente?
Mujeres</t>
  </si>
  <si>
    <t>P3302</t>
  </si>
  <si>
    <t>Número de hijos vivas actualmente</t>
  </si>
  <si>
    <t>¿Cuántos están vivos actualmente?
Hombres</t>
  </si>
  <si>
    <t>P3303</t>
  </si>
  <si>
    <t>Número de hijas e hijos vivos actualmente</t>
  </si>
  <si>
    <t>¿Cuántos están vivos actualmente?
Total</t>
  </si>
  <si>
    <t>P34</t>
  </si>
  <si>
    <t>A qué edad tuvo su primera hija o hijo nacido vivo</t>
  </si>
  <si>
    <t>¿A qué edad tuvo (...) su primera hija o hijo nacido vivo?
Edad</t>
  </si>
  <si>
    <t>12 a 50
99 No sabe</t>
  </si>
  <si>
    <t>P3501</t>
  </si>
  <si>
    <t>Día que tuvo su última hija o hijo nacido vivo</t>
  </si>
  <si>
    <t>¿En qué fecha tuvo (…) su última/o hija o hijo nacido vivo?
Día</t>
  </si>
  <si>
    <t>1-31
99 Se ignora</t>
  </si>
  <si>
    <t>P3502</t>
  </si>
  <si>
    <t>Mes que tuvo su última hija o hijo nacido vivo</t>
  </si>
  <si>
    <t>¿En qué fecha tuvo (…) su última/o hija o hijo nacido vivo?
Mes</t>
  </si>
  <si>
    <t>P3503</t>
  </si>
  <si>
    <t>Año que tuvo su última hija o hijo nacido vivo</t>
  </si>
  <si>
    <t>¿En qué fecha tuvo (…) su última/o hija o hijo nacido vivo?
Año</t>
  </si>
  <si>
    <t>1912-2023
9999 Se ignora</t>
  </si>
  <si>
    <t>P36</t>
  </si>
  <si>
    <t>De acuerdo a su género ¿Cómo se identifica:</t>
  </si>
  <si>
    <t>De acuerdo a su género, ¿Cómo se identifica (…):</t>
  </si>
  <si>
    <t>1. Masculino?
2. Femenino/a?
3. Trans masculino?
4. Trans femenina?
5. No binario?
9. No sabe/No responde</t>
  </si>
  <si>
    <t xml:space="preserve">E. Cualitativa </t>
  </si>
  <si>
    <t>P37</t>
  </si>
  <si>
    <t>¿(…) Siente atracción afectiva, física o sexual por:</t>
  </si>
  <si>
    <t>1. Hombres?
2. Mujeres?
3. Por hombres y mujeres?
4. Otro?
9. No sabe/No responde</t>
  </si>
  <si>
    <t>ID_PER</t>
  </si>
  <si>
    <t>Identificador de persona</t>
  </si>
  <si>
    <t>Variable derivada - 
Sección I. Ubicación geográfica de la vivienda.
Sección IV. Hogar
Sección V. Población</t>
  </si>
  <si>
    <t>GEDAD</t>
  </si>
  <si>
    <t>Grupos de edad quinquenales</t>
  </si>
  <si>
    <t>¿Cuántos años cumplidos tiene (…)? (recodificada)</t>
  </si>
  <si>
    <t>1. Menor de 1 año
2. De 1 a 4 años 
3. De 5 a 9 años
4. De 10 a 14 años
5. De 15 a 19 años
6. De 20 a 24 años
7. De 25 a 29 años
8. De 30 a 34 años
9. De 35 a 39 años
10. De 40 a 44 años
11. De 45 a 49 años
12. De 50 a 54 años
13. De 55 a 59 años
14. De 60 a 64 años
15. De 65 a 69 años
16. De 70 a 74 años
17. De 75 a 79 años
18. De 80 a 84 años
19. De 85 a 89 años
20. De 90 a 94 años
21. De 95 a 99 años
22. 100 años o más</t>
  </si>
  <si>
    <t>GRANEDAD</t>
  </si>
  <si>
    <t>Grandes grupos de edad</t>
  </si>
  <si>
    <t>1. De 0 a 14 años
2. De 15 a 64 años 
3. 65 años o más</t>
  </si>
  <si>
    <t>ETAEDAD</t>
  </si>
  <si>
    <t>Grupos de edad por etapas de vida</t>
  </si>
  <si>
    <t xml:space="preserve">1. Niñas/os de 0 a 11 años 
2. Adolescentes de 12 a 17 años 
3. Jóvenes de 18 a 29 años 
4. Adultas/os de 30 a 64 años 
5. Adultas/os mayores de 65 años o más </t>
  </si>
  <si>
    <t>DFUNC</t>
  </si>
  <si>
    <t>Dificultad funcional permanente</t>
  </si>
  <si>
    <t xml:space="preserve">Variable derivada - 
¿Tiene (…) dificultad permanente para:
- Caminar, o subir o bajar gradas/escaleras?     
- Bañarse, vestirse o alimentarse por sí mismo?  
- Hablar, comunicarse o conversar?
- Oír, aun usando aparado auditivo?
- Ver, aun usando lentes?    
- Recordar, entender o concentrarse?                     </t>
  </si>
  <si>
    <t>1. Con dificultad funcional     
2. Sin dificultad funcional     
9. Se ignora</t>
  </si>
  <si>
    <t>P10R</t>
  </si>
  <si>
    <t>En que idioma o lenguas se comunica - Recodificada</t>
  </si>
  <si>
    <t>Variable derivada - 
¿En qué idiomas o lenguas habla o se comunica (…)?
- Indígena
- Castellano/Español
- Idioma extranjero?
- Lengua de señas ecuatoriana?
- No habla/No se comunica?</t>
  </si>
  <si>
    <t>1. Sólo idioma indígena     
2. Sólo castellano/ español     
3. Sólo idioma extranjero     
4. Sólo lengua de señas ecuatoriana     
5. No habla/ No se comunica     
6. Idioma indígena y castellano/ español     
7. Castellano/ español e idioma extranjero     
8. Idioma indígena, castellano/ español e idioma extranjero   
9. Otras combinaciones de idiomas</t>
  </si>
  <si>
    <t>ESCOLA</t>
  </si>
  <si>
    <t>Años de escolaridad</t>
  </si>
  <si>
    <t>0-25</t>
  </si>
  <si>
    <t>ANALF</t>
  </si>
  <si>
    <t xml:space="preserve">Condición de analfabetismo </t>
  </si>
  <si>
    <t>Variable derivada - 
Sabe (…) leer y escribir?</t>
  </si>
  <si>
    <t>1. Analfabeto      
2. Alfabeto</t>
  </si>
  <si>
    <t>ANALF_DIG</t>
  </si>
  <si>
    <t>Analfabetismo digital</t>
  </si>
  <si>
    <t xml:space="preserve">Variable derivada - 
Sección V. Población. 
¿En los últimos 3 meses (…) ha utilizado:
1. Teléfono celular?
2. Internet?
3. Computadora o laptop?
4. Tablet?
</t>
  </si>
  <si>
    <t xml:space="preserve">1. No usa celular, internet, computadora  o laptop, tablet.
2. Usa celular,  internet, computadora  o laptop, tablet.
</t>
  </si>
  <si>
    <t>CONDACT</t>
  </si>
  <si>
    <t>Condición de actividad (agregada)</t>
  </si>
  <si>
    <t>Variable derivada - 
Sección V. Población. 
Módulo C. Trabajo.</t>
  </si>
  <si>
    <t>1. Menor de 5 años
2. Fuerza de trabajo     
3. Fuera de la fuerza de trabajo</t>
  </si>
  <si>
    <t>CONDACT1</t>
  </si>
  <si>
    <t>Condición de actividad (desagregada)</t>
  </si>
  <si>
    <t>1. Menor de 5 años
2 . Ocupado 
3. Desocupado
4. Fuera de la fuerza de trabajo</t>
  </si>
  <si>
    <t>Q49_CategoriaOcupacional</t>
  </si>
  <si>
    <t>GRUPO1</t>
  </si>
  <si>
    <t>Grupo de ocupación (nivel 1)</t>
  </si>
  <si>
    <t>Variable derivada - 
En su trabajo principal, ¿cuál es la ocupación o tarea que realiza (...)?</t>
  </si>
  <si>
    <t>0. Ocupaciones militares
1. Directores y gerentes
2. Profesionales científicos e intelectuales
3. Técnicos y profesionales del nivel medio
4. Personal de apoyo administrativo
5. Trabajadores de los servicios y vendedores de comercios y mercados
6. Agricultores y trabajadores calificados agropecuarios, forestales y pesqueros
7. Oficiales, operarios y artesanos de artes mecánicas y de otros oficios
8. Operadores de instalaciones y máquinas y ensambladores
9. Ocupaciones elementales
99. Se ignora</t>
  </si>
  <si>
    <t>Q48_Industria</t>
  </si>
  <si>
    <t>RAMA1</t>
  </si>
  <si>
    <t>Rama de actividad (nivel 1)</t>
  </si>
  <si>
    <t>Variable derivada - 
¿A qué se dedica o qué produce principalmente el negocio, empresa o  lugar donde trabaja (…)?</t>
  </si>
  <si>
    <t xml:space="preserve">1. Agricultura, ganadería,  silvicultura y pesca
2. Explotación de minas y canteras
3. Industrias manufactureras
4. Suministro de electricidad, gas, vapor y aire acondicionado
5. Distribución de agua; alcantarillado; gestión de desechos y actividades de saneamiento
6. Construcción
7. Comercio al por mayor y al por menor; reparación de vehículos automotores y motocicletas
8. Transporte y almacenamiento
9. Actividades de alojamiento y de servicio de comidas
10. Información y comunicación
11. Actividades financieras y de seguros
12. Actividades inmobiliarias
13. Actividades profesionales, científicas y técnicas
14. Actividades de servicios administrativos y de apoyo
15. Administración pública y defensa; planes de seguridad social de afiliación obligatoria
16. Enseñanza
17. Actividades de atención de la salud humana y de asistencia social
18. Artes, entretenimiento y recreación
19. Otras actividades de servicios
20. Actividades de los hogares como empleadores.
21. Actividades de organizaciones y órganos extraterritoriales.
99. Se ignora
</t>
  </si>
  <si>
    <t>LGB</t>
  </si>
  <si>
    <t>Orientación sexual</t>
  </si>
  <si>
    <t>¿Cuál fue el sexo de (…) al nacer:
De acuerdo a su género, ¿Cómo se identifica (…):
¿(…) Siente atracción afectiva, física o sexual por:</t>
  </si>
  <si>
    <t>1. Lesbiana
2. Gay
3. Bisexuale
4. Otra orientación sexual
5. Heterosexual
9. No sabe/no responde</t>
  </si>
  <si>
    <t>TRANS</t>
  </si>
  <si>
    <t>Identidad de género</t>
  </si>
  <si>
    <t>1. Trans masculino
2. Trans femenina
3. No binario
4. Cisgénero
9. No sabe/no responde</t>
  </si>
  <si>
    <t>POB_IG_OS</t>
  </si>
  <si>
    <t>Identidad de género y Orientación Sexual</t>
  </si>
  <si>
    <t>1. LGBT+
2. No LGBT+
9. No sabe/no responde</t>
  </si>
  <si>
    <t>POB_LGBT</t>
  </si>
  <si>
    <t>LGBT+</t>
  </si>
  <si>
    <t>1. Sólo transgénero
2. Sólo LGB+
3. LGB+ y transgénero</t>
  </si>
  <si>
    <r>
      <rPr>
        <rFont val="Century Gothic"/>
        <b/>
        <color rgb="FF404040"/>
        <sz val="11.0"/>
      </rPr>
      <t>Elaboración</t>
    </r>
    <r>
      <rPr>
        <rFont val="Century Gothic"/>
        <b/>
        <color rgb="FF404040"/>
        <sz val="11.0"/>
      </rPr>
      <t xml:space="preserve">: </t>
    </r>
    <r>
      <rPr>
        <rFont val="Century Gothic"/>
        <b val="0"/>
        <color rgb="FF404040"/>
        <sz val="11.0"/>
      </rPr>
      <t>Instituto Nacional de Estadística y Censos (INEC)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</si>
</sst>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\-yy"/>
  </numFmts>
  <fonts count="23">
    <font>
      <sz val="10.0"/>
      <color rgb="FF000000"/>
      <name val="Arial"/>
      <scheme val="minor"/>
    </font>
    <font>
      <sz val="18.0"/>
      <color rgb="FF646482"/>
      <name val="Century Gothic"/>
    </font>
    <font>
      <sz val="18.0"/>
      <color rgb="FF1F4E78"/>
      <name val="Century Gothic"/>
    </font>
    <font>
      <sz val="18.0"/>
      <color rgb="FF000000"/>
      <name val="Calibri"/>
    </font>
    <font>
      <b/>
      <sz val="18.0"/>
      <color rgb="FF646482"/>
      <name val="Century Gothic"/>
    </font>
    <font>
      <sz val="14.0"/>
      <color rgb="FF8497B0"/>
      <name val="Century Gothic"/>
    </font>
    <font>
      <sz val="18.0"/>
      <color rgb="FF8497B0"/>
      <name val="Century Gothic"/>
    </font>
    <font>
      <sz val="18.0"/>
      <color rgb="FF8497B0"/>
      <name val="Calibri"/>
    </font>
    <font>
      <b/>
      <sz val="11.0"/>
      <color rgb="FFFFFFFF"/>
      <name val="Century Gothic"/>
    </font>
    <font>
      <sz val="11.0"/>
      <color rgb="FF404040"/>
      <name val="Century Gothic"/>
    </font>
    <font>
      <u/>
      <sz val="11.0"/>
      <color rgb="FF404040"/>
      <name val="Century Gothic"/>
    </font>
    <font>
      <sz val="12.0"/>
      <color rgb="FF000000"/>
      <name val="Calibri"/>
    </font>
    <font>
      <sz val="18.0"/>
      <color rgb="FF646482"/>
      <name val="Calibri"/>
    </font>
    <font>
      <sz val="18.0"/>
      <color rgb="FF1F4E79"/>
      <name val="Century Gothic"/>
    </font>
    <font>
      <b/>
      <sz val="12.0"/>
      <color rgb="FF595959"/>
      <name val="Century Gothic"/>
    </font>
    <font>
      <sz val="20.0"/>
      <color rgb="FF1F4E79"/>
      <name val="Century Gothic"/>
    </font>
    <font>
      <sz val="20.0"/>
      <color rgb="FF000000"/>
      <name val="Calibri"/>
    </font>
    <font>
      <sz val="10.0"/>
      <color rgb="FF000000"/>
      <name val="Century Gothic"/>
    </font>
    <font>
      <sz val="14.0"/>
      <color rgb="FF1F4E79"/>
      <name val="Century Gothic"/>
    </font>
    <font>
      <b/>
      <sz val="12.0"/>
      <color rgb="FF595959"/>
      <name val="Calibri"/>
    </font>
    <font>
      <sz val="8.0"/>
      <color theme="1"/>
      <name val="Arial"/>
    </font>
    <font>
      <b/>
      <sz val="11.0"/>
      <color rgb="FF404040"/>
      <name val="Century Gothic"/>
    </font>
    <font>
      <sz val="11.0"/>
      <color theme="1"/>
      <name val="Century Gothic"/>
    </font>
  </fonts>
  <fills count="7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6DCE5"/>
        <bgColor rgb="FFD6DCE5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</fills>
  <borders count="6">
    <border/>
    <border>
      <left style="thin">
        <color rgb="FF646482"/>
      </left>
      <right style="thin">
        <color rgb="FF646482"/>
      </right>
      <top style="thin">
        <color rgb="FF646482"/>
      </top>
      <bottom style="thin">
        <color rgb="FF646482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646482"/>
      </right>
      <top style="thin">
        <color rgb="FF646482"/>
      </top>
      <bottom style="thin">
        <color rgb="FF646482"/>
      </bottom>
    </border>
    <border>
      <left style="thin">
        <color rgb="FF646482"/>
      </left>
      <top style="thin">
        <color rgb="FF646482"/>
      </top>
      <bottom style="thin">
        <color rgb="FF646482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0"/>
    </xf>
    <xf borderId="0" fillId="0" fontId="2" numFmtId="0" xfId="0" applyAlignment="1" applyFont="1">
      <alignment shrinkToFit="0" vertical="center" wrapText="0"/>
    </xf>
    <xf borderId="0" fillId="0" fontId="3" numFmtId="0" xfId="0" applyAlignment="1" applyFont="1">
      <alignment horizontal="center"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horizontal="center" shrinkToFit="0" vertical="center" wrapText="0"/>
    </xf>
    <xf borderId="0" fillId="0" fontId="5" numFmtId="0" xfId="0" applyAlignment="1" applyFont="1">
      <alignment horizontal="center" shrinkToFit="0" vertical="center" wrapText="0"/>
    </xf>
    <xf borderId="0" fillId="0" fontId="6" numFmtId="0" xfId="0" applyAlignment="1" applyFont="1">
      <alignment shrinkToFit="0" vertical="center" wrapText="0"/>
    </xf>
    <xf borderId="0" fillId="0" fontId="7" numFmtId="0" xfId="0" applyAlignment="1" applyFont="1">
      <alignment horizontal="center" shrinkToFit="0" vertical="bottom" wrapText="0"/>
    </xf>
    <xf borderId="0" fillId="0" fontId="7" numFmtId="0" xfId="0" applyAlignment="1" applyFont="1">
      <alignment shrinkToFit="0" vertical="bottom" wrapText="0"/>
    </xf>
    <xf borderId="1" fillId="2" fontId="8" numFmtId="3" xfId="0" applyAlignment="1" applyBorder="1" applyFill="1" applyFont="1" applyNumberFormat="1">
      <alignment horizontal="center" shrinkToFit="0" vertical="center" wrapText="1"/>
    </xf>
    <xf borderId="1" fillId="0" fontId="9" numFmtId="0" xfId="0" applyAlignment="1" applyBorder="1" applyFont="1">
      <alignment horizontal="center" shrinkToFit="0" vertical="center" wrapText="1"/>
    </xf>
    <xf borderId="1" fillId="0" fontId="10" numFmtId="0" xfId="0" applyAlignment="1" applyBorder="1" applyFont="1">
      <alignment horizontal="left" shrinkToFit="0" vertical="center" wrapText="1"/>
    </xf>
    <xf borderId="0" fillId="0" fontId="11" numFmtId="0" xfId="0" applyAlignment="1" applyFont="1">
      <alignment horizontal="center" shrinkToFit="0" vertical="bottom" wrapText="0"/>
    </xf>
    <xf borderId="0" fillId="0" fontId="11" numFmtId="0" xfId="0" applyAlignment="1" applyFont="1">
      <alignment shrinkToFit="0" vertical="bottom" wrapText="0"/>
    </xf>
    <xf borderId="0" fillId="0" fontId="12" numFmtId="0" xfId="0" applyAlignment="1" applyFont="1">
      <alignment horizontal="center" shrinkToFit="0" vertical="bottom" wrapText="0"/>
    </xf>
    <xf borderId="0" fillId="0" fontId="12" numFmtId="0" xfId="0" applyAlignment="1" applyFont="1">
      <alignment shrinkToFit="0" vertical="bottom" wrapText="0"/>
    </xf>
    <xf borderId="0" fillId="0" fontId="13" numFmtId="0" xfId="0" applyAlignment="1" applyFont="1">
      <alignment horizontal="center" shrinkToFit="0" vertical="center" wrapText="0"/>
    </xf>
    <xf borderId="0" fillId="0" fontId="14" numFmtId="0" xfId="0" applyAlignment="1" applyFont="1">
      <alignment horizontal="left" shrinkToFit="0" vertical="center" wrapText="0"/>
    </xf>
    <xf borderId="0" fillId="0" fontId="15" numFmtId="0" xfId="0" applyAlignment="1" applyFont="1">
      <alignment horizontal="center" shrinkToFit="0" vertical="center" wrapText="0"/>
    </xf>
    <xf borderId="0" fillId="0" fontId="16" numFmtId="0" xfId="0" applyAlignment="1" applyFont="1">
      <alignment horizontal="center" shrinkToFit="0" vertical="bottom" wrapText="0"/>
    </xf>
    <xf borderId="0" fillId="0" fontId="16" numFmtId="0" xfId="0" applyAlignment="1" applyFont="1">
      <alignment shrinkToFit="0" vertical="bottom" wrapText="0"/>
    </xf>
    <xf borderId="0" fillId="0" fontId="17" numFmtId="0" xfId="0" applyAlignment="1" applyFont="1">
      <alignment horizontal="left" readingOrder="0" shrinkToFit="0" vertical="center" wrapText="1"/>
    </xf>
    <xf borderId="0" fillId="0" fontId="18" numFmtId="0" xfId="0" applyAlignment="1" applyFont="1">
      <alignment horizontal="left" shrinkToFit="0" vertical="center" wrapText="0"/>
    </xf>
    <xf borderId="0" fillId="0" fontId="19" numFmtId="0" xfId="0" applyAlignment="1" applyFont="1">
      <alignment horizontal="center" shrinkToFit="0" vertical="bottom" wrapText="0"/>
    </xf>
    <xf borderId="0" fillId="0" fontId="19" numFmtId="0" xfId="0" applyAlignment="1" applyFont="1">
      <alignment shrinkToFit="0" vertical="bottom" wrapText="0"/>
    </xf>
    <xf borderId="0" fillId="0" fontId="20" numFmtId="0" xfId="0" applyAlignment="1" applyFont="1">
      <alignment shrinkToFit="0" vertical="center" wrapText="1"/>
    </xf>
    <xf borderId="1" fillId="3" fontId="9" numFmtId="1" xfId="0" applyAlignment="1" applyBorder="1" applyFill="1" applyFont="1" applyNumberFormat="1">
      <alignment horizontal="center" shrinkToFit="0" vertical="center" wrapText="0"/>
    </xf>
    <xf borderId="1" fillId="0" fontId="9" numFmtId="0" xfId="0" applyAlignment="1" applyBorder="1" applyFont="1">
      <alignment horizontal="left" shrinkToFit="0" vertical="center" wrapText="1"/>
    </xf>
    <xf borderId="0" fillId="0" fontId="20" numFmtId="0" xfId="0" applyAlignment="1" applyFont="1">
      <alignment shrinkToFit="0" vertical="center" wrapText="0"/>
    </xf>
    <xf borderId="1" fillId="4" fontId="9" numFmtId="1" xfId="0" applyAlignment="1" applyBorder="1" applyFill="1" applyFont="1" applyNumberFormat="1">
      <alignment horizontal="center" shrinkToFit="0" vertical="center" wrapText="0"/>
    </xf>
    <xf borderId="1" fillId="4" fontId="9" numFmtId="0" xfId="0" applyAlignment="1" applyBorder="1" applyFont="1">
      <alignment horizontal="left" shrinkToFit="0" vertical="center" wrapText="1"/>
    </xf>
    <xf borderId="1" fillId="4" fontId="9" numFmtId="0" xfId="0" applyAlignment="1" applyBorder="1" applyFont="1">
      <alignment horizontal="center" shrinkToFit="0" vertical="center" wrapText="1"/>
    </xf>
    <xf borderId="0" fillId="4" fontId="20" numFmtId="0" xfId="0" applyAlignment="1" applyFont="1">
      <alignment shrinkToFit="0" vertical="center" wrapText="0"/>
    </xf>
    <xf borderId="1" fillId="0" fontId="9" numFmtId="164" xfId="0" applyAlignment="1" applyBorder="1" applyFont="1" applyNumberFormat="1">
      <alignment horizontal="left" shrinkToFit="0" vertical="center" wrapText="1"/>
    </xf>
    <xf borderId="1" fillId="0" fontId="9" numFmtId="49" xfId="0" applyAlignment="1" applyBorder="1" applyFont="1" applyNumberFormat="1">
      <alignment horizontal="left" shrinkToFit="0" vertical="center" wrapText="1"/>
    </xf>
    <xf borderId="0" fillId="4" fontId="20" numFmtId="0" xfId="0" applyAlignment="1" applyFont="1">
      <alignment horizontal="center" shrinkToFit="0" vertical="center" wrapText="0"/>
    </xf>
    <xf borderId="0" fillId="0" fontId="20" numFmtId="0" xfId="0" applyAlignment="1" applyFont="1">
      <alignment horizontal="center" shrinkToFit="0" vertical="center" wrapText="0"/>
    </xf>
    <xf borderId="0" fillId="0" fontId="21" numFmtId="0" xfId="0" applyAlignment="1" applyFont="1">
      <alignment shrinkToFit="0" vertical="center" wrapText="0"/>
    </xf>
    <xf borderId="0" fillId="0" fontId="11" numFmtId="0" xfId="0" applyAlignment="1" applyFont="1">
      <alignment horizontal="left" shrinkToFit="0" vertical="bottom" wrapText="1"/>
    </xf>
    <xf borderId="2" fillId="2" fontId="8" numFmtId="3" xfId="0" applyAlignment="1" applyBorder="1" applyFont="1" applyNumberFormat="1">
      <alignment horizontal="center" shrinkToFit="0" vertical="center" wrapText="1"/>
    </xf>
    <xf borderId="0" fillId="0" fontId="17" numFmtId="0" xfId="0" applyAlignment="1" applyFont="1">
      <alignment horizontal="left" shrinkToFit="0" vertical="center" wrapText="1"/>
    </xf>
    <xf borderId="0" fillId="2" fontId="8" numFmtId="3" xfId="0" applyAlignment="1" applyFont="1" applyNumberFormat="1">
      <alignment horizontal="center" shrinkToFit="0" vertical="center" wrapText="1"/>
    </xf>
    <xf borderId="0" fillId="3" fontId="9" numFmtId="1" xfId="0" applyAlignment="1" applyFont="1" applyNumberFormat="1">
      <alignment horizontal="center" shrinkToFit="0" vertical="center" wrapText="0"/>
    </xf>
    <xf borderId="0" fillId="4" fontId="9" numFmtId="1" xfId="0" applyAlignment="1" applyFont="1" applyNumberFormat="1">
      <alignment horizontal="center" shrinkToFit="0" vertical="center" wrapText="0"/>
    </xf>
    <xf borderId="0" fillId="0" fontId="9" numFmtId="1" xfId="0" applyAlignment="1" applyFont="1" applyNumberFormat="1">
      <alignment horizontal="center" shrinkToFit="0" vertical="center" wrapText="0"/>
    </xf>
    <xf borderId="1" fillId="0" fontId="9" numFmtId="1" xfId="0" applyAlignment="1" applyBorder="1" applyFont="1" applyNumberFormat="1">
      <alignment horizontal="center" shrinkToFit="0" vertical="center" wrapText="0"/>
    </xf>
    <xf borderId="0" fillId="5" fontId="9" numFmtId="1" xfId="0" applyAlignment="1" applyFill="1" applyFont="1" applyNumberFormat="1">
      <alignment horizontal="center" shrinkToFit="0" vertical="center" wrapText="0"/>
    </xf>
    <xf borderId="1" fillId="5" fontId="9" numFmtId="1" xfId="0" applyAlignment="1" applyBorder="1" applyFont="1" applyNumberFormat="1">
      <alignment horizontal="center" shrinkToFit="0" vertical="center" wrapText="0"/>
    </xf>
    <xf borderId="1" fillId="5" fontId="9" numFmtId="0" xfId="0" applyAlignment="1" applyBorder="1" applyFont="1">
      <alignment horizontal="left" shrinkToFit="0" vertical="center" wrapText="1"/>
    </xf>
    <xf borderId="1" fillId="5" fontId="9" numFmtId="0" xfId="0" applyAlignment="1" applyBorder="1" applyFont="1">
      <alignment horizontal="center" shrinkToFit="0" vertical="center" wrapText="1"/>
    </xf>
    <xf borderId="0" fillId="5" fontId="20" numFmtId="0" xfId="0" applyAlignment="1" applyFont="1">
      <alignment shrinkToFit="0" vertical="center" wrapText="0"/>
    </xf>
    <xf borderId="0" fillId="6" fontId="9" numFmtId="1" xfId="0" applyAlignment="1" applyFill="1" applyFont="1" applyNumberFormat="1">
      <alignment horizontal="center" shrinkToFit="0" vertical="center" wrapText="0"/>
    </xf>
    <xf borderId="1" fillId="6" fontId="9" numFmtId="1" xfId="0" applyAlignment="1" applyBorder="1" applyFont="1" applyNumberFormat="1">
      <alignment horizontal="center" shrinkToFit="0" vertical="center" wrapText="0"/>
    </xf>
    <xf borderId="1" fillId="6" fontId="9" numFmtId="0" xfId="0" applyAlignment="1" applyBorder="1" applyFont="1">
      <alignment horizontal="left" shrinkToFit="0" vertical="center" wrapText="1"/>
    </xf>
    <xf borderId="1" fillId="6" fontId="9" numFmtId="0" xfId="0" applyAlignment="1" applyBorder="1" applyFont="1">
      <alignment horizontal="center" shrinkToFit="0" vertical="center" wrapText="1"/>
    </xf>
    <xf borderId="0" fillId="6" fontId="20" numFmtId="0" xfId="0" applyAlignment="1" applyFont="1">
      <alignment shrinkToFit="0" vertical="center" wrapText="0"/>
    </xf>
    <xf borderId="0" fillId="4" fontId="9" numFmtId="1" xfId="0" applyAlignment="1" applyFont="1" applyNumberFormat="1">
      <alignment horizontal="center" readingOrder="0" shrinkToFit="0" vertical="center" wrapText="0"/>
    </xf>
    <xf borderId="3" fillId="4" fontId="20" numFmtId="0" xfId="0" applyAlignment="1" applyBorder="1" applyFont="1">
      <alignment readingOrder="0" shrinkToFit="0" vertical="center" wrapText="0"/>
    </xf>
    <xf borderId="0" fillId="4" fontId="20" numFmtId="0" xfId="0" applyAlignment="1" applyFont="1">
      <alignment readingOrder="0" shrinkToFit="0" vertical="center" wrapText="0"/>
    </xf>
    <xf borderId="0" fillId="0" fontId="22" numFmtId="0" xfId="0" applyAlignment="1" applyFont="1">
      <alignment horizontal="left" shrinkToFit="0" vertical="center" wrapText="1"/>
    </xf>
    <xf borderId="0" fillId="4" fontId="9" numFmtId="1" xfId="0" applyAlignment="1" applyFont="1" applyNumberFormat="1">
      <alignment horizontal="center" readingOrder="0" shrinkToFit="0" vertical="center" wrapText="1"/>
    </xf>
    <xf borderId="3" fillId="4" fontId="9" numFmtId="1" xfId="0" applyAlignment="1" applyBorder="1" applyFont="1" applyNumberFormat="1">
      <alignment horizontal="center" readingOrder="0" shrinkToFit="0" vertical="center" wrapText="0"/>
    </xf>
    <xf borderId="4" fillId="4" fontId="9" numFmtId="1" xfId="0" applyAlignment="1" applyBorder="1" applyFont="1" applyNumberFormat="1">
      <alignment horizontal="center" shrinkToFit="0" vertical="center" wrapText="0"/>
    </xf>
    <xf borderId="1" fillId="4" fontId="9" numFmtId="0" xfId="0" applyAlignment="1" applyBorder="1" applyFont="1">
      <alignment horizontal="left" shrinkToFit="0" vertical="top" wrapText="1"/>
    </xf>
    <xf borderId="5" fillId="4" fontId="9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2847975</xdr:colOff>
      <xdr:row>0</xdr:row>
      <xdr:rowOff>0</xdr:rowOff>
    </xdr:from>
    <xdr:ext cx="6324600" cy="495300"/>
    <xdr:sp>
      <xdr:nvSpPr>
        <xdr:cNvPr id="3" name="Shape 3"/>
        <xdr:cNvSpPr/>
      </xdr:nvSpPr>
      <xdr:spPr>
        <a:xfrm>
          <a:off x="2188463" y="3537113"/>
          <a:ext cx="6315075" cy="485775"/>
        </a:xfrm>
        <a:prstGeom prst="rect">
          <a:avLst/>
        </a:prstGeom>
        <a:noFill/>
        <a:ln>
          <a:noFill/>
        </a:ln>
      </xdr:spPr>
      <xdr:txBody>
        <a:bodyPr anchorCtr="0" anchor="t" bIns="45000" lIns="90000" spcFirstLastPara="1" rIns="90000" wrap="square" tIns="45000">
          <a:noAutofit/>
        </a:bodyPr>
        <a:lstStyle/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3200" strike="noStrike">
              <a:solidFill>
                <a:srgbClr val="646482"/>
              </a:solidFill>
              <a:latin typeface="Century Gothic"/>
              <a:ea typeface="Century Gothic"/>
              <a:cs typeface="Century Gothic"/>
              <a:sym typeface="Century Gothic"/>
            </a:rPr>
            <a:t>Censo Ecuador 2022</a:t>
          </a:r>
          <a:endParaRPr b="0" sz="320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</xdr:col>
      <xdr:colOff>2867025</xdr:colOff>
      <xdr:row>0</xdr:row>
      <xdr:rowOff>466725</xdr:rowOff>
    </xdr:from>
    <xdr:ext cx="3590925" cy="333375"/>
    <xdr:sp>
      <xdr:nvSpPr>
        <xdr:cNvPr id="4" name="Shape 4"/>
        <xdr:cNvSpPr/>
      </xdr:nvSpPr>
      <xdr:spPr>
        <a:xfrm>
          <a:off x="3555300" y="3618075"/>
          <a:ext cx="3581400" cy="323850"/>
        </a:xfrm>
        <a:prstGeom prst="rect">
          <a:avLst/>
        </a:prstGeom>
        <a:noFill/>
        <a:ln>
          <a:noFill/>
        </a:ln>
      </xdr:spPr>
      <xdr:txBody>
        <a:bodyPr anchorCtr="0" anchor="t" bIns="45000" lIns="90000" spcFirstLastPara="1" rIns="90000" wrap="square" tIns="45000">
          <a:noAutofit/>
        </a:bodyPr>
        <a:lstStyle/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0" lang="en-US" sz="1800" strike="noStrike">
              <a:solidFill>
                <a:srgbClr val="116993"/>
              </a:solidFill>
              <a:latin typeface="Century Gothic"/>
              <a:ea typeface="Century Gothic"/>
              <a:cs typeface="Century Gothic"/>
              <a:sym typeface="Century Gothic"/>
            </a:rPr>
            <a:t>Diccionario de Variables</a:t>
          </a:r>
          <a:endParaRPr b="0" sz="180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11639550" cy="952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600075</xdr:colOff>
      <xdr:row>0</xdr:row>
      <xdr:rowOff>0</xdr:rowOff>
    </xdr:from>
    <xdr:ext cx="7762875" cy="495300"/>
    <xdr:sp>
      <xdr:nvSpPr>
        <xdr:cNvPr id="5" name="Shape 5"/>
        <xdr:cNvSpPr/>
      </xdr:nvSpPr>
      <xdr:spPr>
        <a:xfrm>
          <a:off x="1469325" y="3537113"/>
          <a:ext cx="7753350" cy="485775"/>
        </a:xfrm>
        <a:prstGeom prst="rect">
          <a:avLst/>
        </a:prstGeom>
        <a:noFill/>
        <a:ln>
          <a:noFill/>
        </a:ln>
      </xdr:spPr>
      <xdr:txBody>
        <a:bodyPr anchorCtr="0" anchor="t" bIns="45000" lIns="90000" spcFirstLastPara="1" rIns="90000" wrap="square" tIns="45000">
          <a:noAutofit/>
        </a:bodyPr>
        <a:lstStyle/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3200" strike="noStrike">
              <a:solidFill>
                <a:srgbClr val="646482"/>
              </a:solidFill>
              <a:latin typeface="Century Gothic"/>
              <a:ea typeface="Century Gothic"/>
              <a:cs typeface="Century Gothic"/>
              <a:sym typeface="Century Gothic"/>
            </a:rPr>
            <a:t>Censo Ecuador 2022</a:t>
          </a:r>
          <a:endParaRPr b="0" sz="320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619125</xdr:colOff>
      <xdr:row>0</xdr:row>
      <xdr:rowOff>466725</xdr:rowOff>
    </xdr:from>
    <xdr:ext cx="4305300" cy="333375"/>
    <xdr:sp>
      <xdr:nvSpPr>
        <xdr:cNvPr id="6" name="Shape 6"/>
        <xdr:cNvSpPr/>
      </xdr:nvSpPr>
      <xdr:spPr>
        <a:xfrm>
          <a:off x="3198113" y="3618075"/>
          <a:ext cx="4295775" cy="323850"/>
        </a:xfrm>
        <a:prstGeom prst="rect">
          <a:avLst/>
        </a:prstGeom>
        <a:noFill/>
        <a:ln>
          <a:noFill/>
        </a:ln>
      </xdr:spPr>
      <xdr:txBody>
        <a:bodyPr anchorCtr="0" anchor="t" bIns="45000" lIns="90000" spcFirstLastPara="1" rIns="90000" wrap="square" tIns="45000">
          <a:noAutofit/>
        </a:bodyPr>
        <a:lstStyle/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0" lang="en-US" sz="1800" strike="noStrike">
              <a:solidFill>
                <a:srgbClr val="116993"/>
              </a:solidFill>
              <a:latin typeface="Century Gothic"/>
              <a:ea typeface="Century Gothic"/>
              <a:cs typeface="Century Gothic"/>
              <a:sym typeface="Century Gothic"/>
            </a:rPr>
            <a:t>Diccionario de Variables</a:t>
          </a:r>
          <a:endParaRPr b="0" sz="180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14154150" cy="952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600075</xdr:colOff>
      <xdr:row>0</xdr:row>
      <xdr:rowOff>0</xdr:rowOff>
    </xdr:from>
    <xdr:ext cx="7762875" cy="495300"/>
    <xdr:sp>
      <xdr:nvSpPr>
        <xdr:cNvPr id="7" name="Shape 7"/>
        <xdr:cNvSpPr/>
      </xdr:nvSpPr>
      <xdr:spPr>
        <a:xfrm>
          <a:off x="1469325" y="3537113"/>
          <a:ext cx="7753350" cy="485775"/>
        </a:xfrm>
        <a:prstGeom prst="rect">
          <a:avLst/>
        </a:prstGeom>
        <a:noFill/>
        <a:ln>
          <a:noFill/>
        </a:ln>
      </xdr:spPr>
      <xdr:txBody>
        <a:bodyPr anchorCtr="0" anchor="t" bIns="45000" lIns="90000" spcFirstLastPara="1" rIns="90000" wrap="square" tIns="45000">
          <a:noAutofit/>
        </a:bodyPr>
        <a:lstStyle/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3200" strike="noStrike">
              <a:solidFill>
                <a:srgbClr val="646482"/>
              </a:solidFill>
              <a:latin typeface="Century Gothic"/>
              <a:ea typeface="Century Gothic"/>
              <a:cs typeface="Century Gothic"/>
              <a:sym typeface="Century Gothic"/>
            </a:rPr>
            <a:t>Censo Ecuador 2022</a:t>
          </a:r>
          <a:endParaRPr b="0" sz="320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619125</xdr:colOff>
      <xdr:row>0</xdr:row>
      <xdr:rowOff>466725</xdr:rowOff>
    </xdr:from>
    <xdr:ext cx="4305300" cy="333375"/>
    <xdr:sp>
      <xdr:nvSpPr>
        <xdr:cNvPr id="8" name="Shape 8"/>
        <xdr:cNvSpPr/>
      </xdr:nvSpPr>
      <xdr:spPr>
        <a:xfrm>
          <a:off x="3198113" y="3618075"/>
          <a:ext cx="4295775" cy="323850"/>
        </a:xfrm>
        <a:prstGeom prst="rect">
          <a:avLst/>
        </a:prstGeom>
        <a:noFill/>
        <a:ln>
          <a:noFill/>
        </a:ln>
      </xdr:spPr>
      <xdr:txBody>
        <a:bodyPr anchorCtr="0" anchor="t" bIns="45000" lIns="90000" spcFirstLastPara="1" rIns="90000" wrap="square" tIns="45000">
          <a:noAutofit/>
        </a:bodyPr>
        <a:lstStyle/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0" lang="en-US" sz="1800" strike="noStrike">
              <a:solidFill>
                <a:srgbClr val="116993"/>
              </a:solidFill>
              <a:latin typeface="Century Gothic"/>
              <a:ea typeface="Century Gothic"/>
              <a:cs typeface="Century Gothic"/>
              <a:sym typeface="Century Gothic"/>
            </a:rPr>
            <a:t>Diccionario de Variables</a:t>
          </a:r>
          <a:endParaRPr b="0" sz="180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14154150" cy="952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600075</xdr:colOff>
      <xdr:row>0</xdr:row>
      <xdr:rowOff>0</xdr:rowOff>
    </xdr:from>
    <xdr:ext cx="7762875" cy="495300"/>
    <xdr:sp>
      <xdr:nvSpPr>
        <xdr:cNvPr id="9" name="Shape 9"/>
        <xdr:cNvSpPr/>
      </xdr:nvSpPr>
      <xdr:spPr>
        <a:xfrm>
          <a:off x="1469325" y="3537113"/>
          <a:ext cx="7753350" cy="485775"/>
        </a:xfrm>
        <a:prstGeom prst="rect">
          <a:avLst/>
        </a:prstGeom>
        <a:noFill/>
        <a:ln>
          <a:noFill/>
        </a:ln>
      </xdr:spPr>
      <xdr:txBody>
        <a:bodyPr anchorCtr="0" anchor="t" bIns="45000" lIns="90000" spcFirstLastPara="1" rIns="90000" wrap="square" tIns="45000">
          <a:noAutofit/>
        </a:bodyPr>
        <a:lstStyle/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3200" strike="noStrike">
              <a:solidFill>
                <a:srgbClr val="646482"/>
              </a:solidFill>
              <a:latin typeface="Century Gothic"/>
              <a:ea typeface="Century Gothic"/>
              <a:cs typeface="Century Gothic"/>
              <a:sym typeface="Century Gothic"/>
            </a:rPr>
            <a:t>Censo Ecuador 2022</a:t>
          </a:r>
          <a:endParaRPr b="0" sz="320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619125</xdr:colOff>
      <xdr:row>0</xdr:row>
      <xdr:rowOff>466725</xdr:rowOff>
    </xdr:from>
    <xdr:ext cx="4305300" cy="333375"/>
    <xdr:sp>
      <xdr:nvSpPr>
        <xdr:cNvPr id="10" name="Shape 10"/>
        <xdr:cNvSpPr/>
      </xdr:nvSpPr>
      <xdr:spPr>
        <a:xfrm>
          <a:off x="3198113" y="3618075"/>
          <a:ext cx="4295775" cy="323850"/>
        </a:xfrm>
        <a:prstGeom prst="rect">
          <a:avLst/>
        </a:prstGeom>
        <a:noFill/>
        <a:ln>
          <a:noFill/>
        </a:ln>
      </xdr:spPr>
      <xdr:txBody>
        <a:bodyPr anchorCtr="0" anchor="t" bIns="45000" lIns="90000" spcFirstLastPara="1" rIns="90000" wrap="square" tIns="45000">
          <a:noAutofit/>
        </a:bodyPr>
        <a:lstStyle/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0" lang="en-US" sz="1800" strike="noStrike">
              <a:solidFill>
                <a:srgbClr val="116993"/>
              </a:solidFill>
              <a:latin typeface="Century Gothic"/>
              <a:ea typeface="Century Gothic"/>
              <a:cs typeface="Century Gothic"/>
              <a:sym typeface="Century Gothic"/>
            </a:rPr>
            <a:t>Diccionario de Variables</a:t>
          </a:r>
          <a:endParaRPr b="0" sz="180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14154150" cy="952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600075</xdr:colOff>
      <xdr:row>0</xdr:row>
      <xdr:rowOff>0</xdr:rowOff>
    </xdr:from>
    <xdr:ext cx="7762875" cy="495300"/>
    <xdr:sp>
      <xdr:nvSpPr>
        <xdr:cNvPr id="11" name="Shape 11"/>
        <xdr:cNvSpPr/>
      </xdr:nvSpPr>
      <xdr:spPr>
        <a:xfrm>
          <a:off x="1469325" y="3537113"/>
          <a:ext cx="7753350" cy="485775"/>
        </a:xfrm>
        <a:prstGeom prst="rect">
          <a:avLst/>
        </a:prstGeom>
        <a:noFill/>
        <a:ln>
          <a:noFill/>
        </a:ln>
      </xdr:spPr>
      <xdr:txBody>
        <a:bodyPr anchorCtr="0" anchor="t" bIns="45000" lIns="90000" spcFirstLastPara="1" rIns="90000" wrap="square" tIns="45000">
          <a:noAutofit/>
        </a:bodyPr>
        <a:lstStyle/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3200" strike="noStrike">
              <a:solidFill>
                <a:srgbClr val="646482"/>
              </a:solidFill>
              <a:latin typeface="Century Gothic"/>
              <a:ea typeface="Century Gothic"/>
              <a:cs typeface="Century Gothic"/>
              <a:sym typeface="Century Gothic"/>
            </a:rPr>
            <a:t>Censo Ecuador 2022</a:t>
          </a:r>
          <a:endParaRPr b="0" sz="320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619125</xdr:colOff>
      <xdr:row>0</xdr:row>
      <xdr:rowOff>466725</xdr:rowOff>
    </xdr:from>
    <xdr:ext cx="4305300" cy="333375"/>
    <xdr:sp>
      <xdr:nvSpPr>
        <xdr:cNvPr id="12" name="Shape 12"/>
        <xdr:cNvSpPr/>
      </xdr:nvSpPr>
      <xdr:spPr>
        <a:xfrm>
          <a:off x="3198113" y="3618075"/>
          <a:ext cx="4295775" cy="323850"/>
        </a:xfrm>
        <a:prstGeom prst="rect">
          <a:avLst/>
        </a:prstGeom>
        <a:noFill/>
        <a:ln>
          <a:noFill/>
        </a:ln>
      </xdr:spPr>
      <xdr:txBody>
        <a:bodyPr anchorCtr="0" anchor="t" bIns="45000" lIns="90000" spcFirstLastPara="1" rIns="90000" wrap="square" tIns="45000">
          <a:noAutofit/>
        </a:bodyPr>
        <a:lstStyle/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0" lang="en-US" sz="1800" strike="noStrike">
              <a:solidFill>
                <a:srgbClr val="116993"/>
              </a:solidFill>
              <a:latin typeface="Century Gothic"/>
              <a:ea typeface="Century Gothic"/>
              <a:cs typeface="Century Gothic"/>
              <a:sym typeface="Century Gothic"/>
            </a:rPr>
            <a:t>Diccionario de Variables</a:t>
          </a:r>
          <a:endParaRPr b="0" sz="180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14154150" cy="952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0</xdr:row>
      <xdr:rowOff>847725</xdr:rowOff>
    </xdr:from>
    <xdr:ext cx="8562975" cy="533400"/>
    <xdr:sp>
      <xdr:nvSpPr>
        <xdr:cNvPr id="13" name="Shape 13"/>
        <xdr:cNvSpPr/>
      </xdr:nvSpPr>
      <xdr:spPr>
        <a:xfrm>
          <a:off x="1069275" y="3518063"/>
          <a:ext cx="8553450" cy="5238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3</xdr:col>
      <xdr:colOff>600075</xdr:colOff>
      <xdr:row>0</xdr:row>
      <xdr:rowOff>0</xdr:rowOff>
    </xdr:from>
    <xdr:ext cx="7762875" cy="495300"/>
    <xdr:sp>
      <xdr:nvSpPr>
        <xdr:cNvPr id="14" name="Shape 14"/>
        <xdr:cNvSpPr/>
      </xdr:nvSpPr>
      <xdr:spPr>
        <a:xfrm>
          <a:off x="1469325" y="3537113"/>
          <a:ext cx="7753350" cy="485775"/>
        </a:xfrm>
        <a:prstGeom prst="rect">
          <a:avLst/>
        </a:prstGeom>
        <a:noFill/>
        <a:ln>
          <a:noFill/>
        </a:ln>
      </xdr:spPr>
      <xdr:txBody>
        <a:bodyPr anchorCtr="0" anchor="t" bIns="45000" lIns="90000" spcFirstLastPara="1" rIns="90000" wrap="square" tIns="45000">
          <a:noAutofit/>
        </a:bodyPr>
        <a:lstStyle/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3200" strike="noStrike">
              <a:solidFill>
                <a:srgbClr val="646482"/>
              </a:solidFill>
              <a:latin typeface="Century Gothic"/>
              <a:ea typeface="Century Gothic"/>
              <a:cs typeface="Century Gothic"/>
              <a:sym typeface="Century Gothic"/>
            </a:rPr>
            <a:t>Censo Ecuador 2022</a:t>
          </a:r>
          <a:endParaRPr b="0" sz="320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3</xdr:col>
      <xdr:colOff>619125</xdr:colOff>
      <xdr:row>0</xdr:row>
      <xdr:rowOff>466725</xdr:rowOff>
    </xdr:from>
    <xdr:ext cx="4305300" cy="333375"/>
    <xdr:sp>
      <xdr:nvSpPr>
        <xdr:cNvPr id="15" name="Shape 15"/>
        <xdr:cNvSpPr/>
      </xdr:nvSpPr>
      <xdr:spPr>
        <a:xfrm>
          <a:off x="3198113" y="3618075"/>
          <a:ext cx="4295775" cy="323850"/>
        </a:xfrm>
        <a:prstGeom prst="rect">
          <a:avLst/>
        </a:prstGeom>
        <a:noFill/>
        <a:ln>
          <a:noFill/>
        </a:ln>
      </xdr:spPr>
      <xdr:txBody>
        <a:bodyPr anchorCtr="0" anchor="t" bIns="45000" lIns="90000" spcFirstLastPara="1" rIns="90000" wrap="square" tIns="45000">
          <a:noAutofit/>
        </a:bodyPr>
        <a:lstStyle/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0" lang="en-US" sz="1800" strike="noStrike">
              <a:solidFill>
                <a:srgbClr val="116993"/>
              </a:solidFill>
              <a:latin typeface="Century Gothic"/>
              <a:ea typeface="Century Gothic"/>
              <a:cs typeface="Century Gothic"/>
              <a:sym typeface="Century Gothic"/>
            </a:rPr>
            <a:t>Diccionario de Variables</a:t>
          </a:r>
          <a:endParaRPr b="0" sz="180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</xdr:col>
      <xdr:colOff>0</xdr:colOff>
      <xdr:row>0</xdr:row>
      <xdr:rowOff>0</xdr:rowOff>
    </xdr:from>
    <xdr:ext cx="14154150" cy="952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16993"/>
    <pageSetUpPr/>
  </sheetPr>
  <sheetViews>
    <sheetView showGridLines="0" workbookViewId="0"/>
  </sheetViews>
  <sheetFormatPr customHeight="1" defaultColWidth="12.63" defaultRowHeight="15.0"/>
  <cols>
    <col customWidth="1" min="1" max="1" width="10.75"/>
    <col customWidth="1" min="2" max="2" width="164.13"/>
    <col customWidth="1" min="3" max="26" width="10.75"/>
  </cols>
  <sheetData>
    <row r="1" ht="96.0" customHeight="1"/>
    <row r="2" ht="12.75" customHeight="1">
      <c r="A2" s="1" t="s">
        <v>0</v>
      </c>
      <c r="C2" s="2"/>
      <c r="D2" s="2"/>
      <c r="E2" s="2"/>
      <c r="F2" s="2"/>
      <c r="G2" s="2"/>
      <c r="H2" s="3"/>
      <c r="I2" s="3"/>
      <c r="J2" s="3"/>
      <c r="K2" s="3"/>
      <c r="L2" s="3"/>
      <c r="M2" s="3"/>
      <c r="N2" s="3"/>
      <c r="O2" s="3"/>
      <c r="P2" s="3"/>
      <c r="Q2" s="4"/>
      <c r="R2" s="4"/>
      <c r="S2" s="4"/>
      <c r="T2" s="4"/>
      <c r="U2" s="4"/>
      <c r="V2" s="4"/>
      <c r="W2" s="4"/>
      <c r="X2" s="4"/>
      <c r="Y2" s="4"/>
      <c r="Z2" s="4"/>
    </row>
    <row r="3" ht="12.75" customHeight="1">
      <c r="A3" s="1" t="s">
        <v>1</v>
      </c>
      <c r="C3" s="2"/>
      <c r="D3" s="2"/>
      <c r="E3" s="2"/>
      <c r="F3" s="2"/>
      <c r="G3" s="2"/>
      <c r="H3" s="3"/>
      <c r="I3" s="3"/>
      <c r="J3" s="3"/>
      <c r="K3" s="3"/>
      <c r="L3" s="3"/>
      <c r="M3" s="3"/>
      <c r="N3" s="3"/>
      <c r="O3" s="3"/>
      <c r="P3" s="3"/>
      <c r="Q3" s="4"/>
      <c r="R3" s="4"/>
      <c r="S3" s="4"/>
      <c r="T3" s="4"/>
      <c r="U3" s="4"/>
      <c r="V3" s="4"/>
      <c r="W3" s="4"/>
      <c r="X3" s="4"/>
      <c r="Y3" s="4"/>
      <c r="Z3" s="4"/>
    </row>
    <row r="4" ht="12.75" customHeight="1">
      <c r="A4" s="5" t="s">
        <v>2</v>
      </c>
      <c r="C4" s="2"/>
      <c r="D4" s="2"/>
      <c r="E4" s="2"/>
      <c r="F4" s="2"/>
      <c r="G4" s="2"/>
      <c r="H4" s="3"/>
      <c r="I4" s="3"/>
      <c r="J4" s="3"/>
      <c r="K4" s="3"/>
      <c r="L4" s="3"/>
      <c r="M4" s="3"/>
      <c r="N4" s="3"/>
      <c r="O4" s="3"/>
      <c r="P4" s="3"/>
      <c r="Q4" s="4"/>
      <c r="R4" s="4"/>
      <c r="S4" s="4"/>
      <c r="T4" s="4"/>
      <c r="U4" s="4"/>
      <c r="V4" s="4"/>
      <c r="W4" s="4"/>
      <c r="X4" s="4"/>
      <c r="Y4" s="4"/>
      <c r="Z4" s="4"/>
    </row>
    <row r="5" ht="12.75" customHeight="1">
      <c r="A5" s="5" t="s">
        <v>3</v>
      </c>
      <c r="C5" s="2"/>
      <c r="D5" s="2"/>
      <c r="E5" s="2"/>
      <c r="F5" s="2"/>
      <c r="G5" s="2"/>
      <c r="H5" s="3"/>
      <c r="I5" s="3"/>
      <c r="J5" s="3"/>
      <c r="K5" s="3"/>
      <c r="L5" s="3"/>
      <c r="M5" s="3"/>
      <c r="N5" s="3"/>
      <c r="O5" s="3"/>
      <c r="P5" s="3"/>
      <c r="Q5" s="4"/>
      <c r="R5" s="4"/>
      <c r="S5" s="4"/>
      <c r="T5" s="4"/>
      <c r="U5" s="4"/>
      <c r="V5" s="4"/>
      <c r="W5" s="4"/>
      <c r="X5" s="4"/>
      <c r="Y5" s="4"/>
      <c r="Z5" s="4"/>
    </row>
    <row r="6" ht="12.75" customHeight="1">
      <c r="A6" s="6" t="s">
        <v>4</v>
      </c>
      <c r="C6" s="7"/>
      <c r="D6" s="7"/>
      <c r="E6" s="7"/>
      <c r="F6" s="7"/>
      <c r="G6" s="7"/>
      <c r="H6" s="8"/>
      <c r="I6" s="8"/>
      <c r="J6" s="8"/>
      <c r="K6" s="8"/>
      <c r="L6" s="8"/>
      <c r="M6" s="8"/>
      <c r="N6" s="8"/>
      <c r="O6" s="8"/>
      <c r="P6" s="8"/>
      <c r="Q6" s="9"/>
      <c r="R6" s="9"/>
      <c r="S6" s="9"/>
      <c r="T6" s="9"/>
      <c r="U6" s="9"/>
      <c r="V6" s="9"/>
      <c r="W6" s="9"/>
      <c r="X6" s="9"/>
      <c r="Y6" s="9"/>
      <c r="Z6" s="9"/>
    </row>
    <row r="7" ht="12.75" customHeight="1"/>
    <row r="8" ht="12.75" customHeight="1">
      <c r="A8" s="10" t="s">
        <v>5</v>
      </c>
      <c r="B8" s="10" t="s">
        <v>6</v>
      </c>
    </row>
    <row r="9" ht="18.75" customHeight="1">
      <c r="A9" s="11">
        <v>1.0</v>
      </c>
      <c r="B9" s="12" t="str">
        <f>HYPERLINK("#'1. Vivienda'!B11", "Diccionario de variables de la tabla de vivienda")</f>
        <v>Diccionario de variables de la tabla de vivienda</v>
      </c>
    </row>
    <row r="10" ht="18.75" customHeight="1">
      <c r="A10" s="11">
        <v>2.0</v>
      </c>
      <c r="B10" s="12" t="str">
        <f>HYPERLINK("#'2. Hogar'!B11", "Diccionario de variables de la tabla de hogar")</f>
        <v>Diccionario de variables de la tabla de hogar</v>
      </c>
    </row>
    <row r="11" ht="18.75" customHeight="1">
      <c r="A11" s="11">
        <v>3.0</v>
      </c>
      <c r="B11" s="12" t="str">
        <f>HYPERLINK("#'3. Mortalidad'!B11", "Diccionario de variables de la tabla de mortalidad")</f>
        <v>Diccionario de variables de la tabla de mortalidad</v>
      </c>
    </row>
    <row r="12" ht="18.75" customHeight="1">
      <c r="A12" s="11">
        <v>4.0</v>
      </c>
      <c r="B12" s="12" t="str">
        <f>HYPERLINK("#'4. Emigración'!B11", "Diccionario de variables de la tabla de emigración")</f>
        <v>Diccionario de variables de la tabla de emigración</v>
      </c>
    </row>
    <row r="13" ht="18.75" customHeight="1">
      <c r="A13" s="11">
        <v>5.0</v>
      </c>
      <c r="B13" s="12" t="str">
        <f>HYPERLINK("#'5. Población'!B11", "Diccionario de variables de la tabla de población")</f>
        <v>Diccionario de variables de la tabla de población</v>
      </c>
    </row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5">
    <mergeCell ref="A2:B2"/>
    <mergeCell ref="A3:B3"/>
    <mergeCell ref="A4:B4"/>
    <mergeCell ref="A5:B5"/>
    <mergeCell ref="A6:B6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4E78"/>
    <pageSetUpPr/>
  </sheetPr>
  <sheetViews>
    <sheetView showGridLines="0" workbookViewId="0"/>
  </sheetViews>
  <sheetFormatPr customHeight="1" defaultColWidth="12.63" defaultRowHeight="15.0"/>
  <cols>
    <col customWidth="1" min="1" max="1" width="23.63"/>
    <col customWidth="1" hidden="1" min="2" max="2" width="25.75"/>
    <col customWidth="1" min="3" max="3" width="43.75"/>
    <col customWidth="1" min="4" max="4" width="41.75"/>
    <col customWidth="1" min="5" max="5" width="19.75"/>
    <col customWidth="1" min="6" max="7" width="14.75"/>
    <col customWidth="1" min="8" max="26" width="10.88"/>
  </cols>
  <sheetData>
    <row r="1" ht="83.25" customHeight="1">
      <c r="A1" s="13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ht="23.25" customHeight="1">
      <c r="A2" s="1" t="s">
        <v>0</v>
      </c>
      <c r="H2" s="15"/>
      <c r="I2" s="15"/>
      <c r="J2" s="15"/>
      <c r="K2" s="15"/>
      <c r="L2" s="15"/>
      <c r="M2" s="15"/>
      <c r="N2" s="15"/>
      <c r="O2" s="15"/>
      <c r="P2" s="15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ht="23.25" customHeight="1">
      <c r="A3" s="1" t="s">
        <v>1</v>
      </c>
      <c r="H3" s="15"/>
      <c r="I3" s="15"/>
      <c r="J3" s="15"/>
      <c r="K3" s="15"/>
      <c r="L3" s="15"/>
      <c r="M3" s="15"/>
      <c r="N3" s="15"/>
      <c r="O3" s="15"/>
      <c r="P3" s="15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ht="23.25" customHeight="1">
      <c r="A4" s="5" t="s">
        <v>7</v>
      </c>
      <c r="H4" s="15"/>
      <c r="I4" s="15"/>
      <c r="J4" s="15"/>
      <c r="K4" s="15"/>
      <c r="L4" s="15"/>
      <c r="M4" s="15"/>
      <c r="N4" s="15"/>
      <c r="O4" s="15"/>
      <c r="P4" s="15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ht="24.0" customHeight="1">
      <c r="A5" s="6" t="s">
        <v>4</v>
      </c>
      <c r="H5" s="3"/>
      <c r="I5" s="3"/>
      <c r="J5" s="3"/>
      <c r="K5" s="3"/>
      <c r="L5" s="3"/>
      <c r="M5" s="3"/>
      <c r="N5" s="3"/>
      <c r="O5" s="3"/>
      <c r="P5" s="3"/>
      <c r="Q5" s="4"/>
      <c r="R5" s="4"/>
      <c r="S5" s="4"/>
      <c r="T5" s="4"/>
      <c r="U5" s="4"/>
      <c r="V5" s="4"/>
      <c r="W5" s="4"/>
      <c r="X5" s="4"/>
      <c r="Y5" s="4"/>
      <c r="Z5" s="4"/>
    </row>
    <row r="6" ht="13.5" customHeight="1">
      <c r="A6" s="17"/>
      <c r="B6" s="17"/>
      <c r="C6" s="17"/>
      <c r="D6" s="17"/>
      <c r="E6" s="17"/>
      <c r="F6" s="17"/>
      <c r="G6" s="17"/>
      <c r="H6" s="3"/>
      <c r="I6" s="3"/>
      <c r="J6" s="3"/>
      <c r="K6" s="3"/>
      <c r="L6" s="3"/>
      <c r="M6" s="3"/>
      <c r="N6" s="3"/>
      <c r="O6" s="3"/>
      <c r="P6" s="3"/>
      <c r="Q6" s="4"/>
      <c r="R6" s="4"/>
      <c r="S6" s="4"/>
      <c r="T6" s="4"/>
      <c r="U6" s="4"/>
      <c r="V6" s="4"/>
      <c r="W6" s="4"/>
      <c r="X6" s="4"/>
      <c r="Y6" s="4"/>
      <c r="Z6" s="4"/>
    </row>
    <row r="7" ht="23.25" customHeight="1">
      <c r="A7" s="18" t="s">
        <v>8</v>
      </c>
      <c r="C7" s="19"/>
      <c r="D7" s="19"/>
      <c r="E7" s="19"/>
      <c r="F7" s="19"/>
      <c r="G7" s="19"/>
      <c r="H7" s="20"/>
      <c r="I7" s="20"/>
      <c r="J7" s="20"/>
      <c r="K7" s="20"/>
      <c r="L7" s="20"/>
      <c r="M7" s="20"/>
      <c r="N7" s="20"/>
      <c r="O7" s="20"/>
      <c r="P7" s="20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ht="39.0" customHeight="1">
      <c r="A8" s="22" t="s">
        <v>9</v>
      </c>
      <c r="H8" s="13"/>
      <c r="I8" s="13"/>
      <c r="J8" s="13"/>
      <c r="K8" s="13"/>
      <c r="L8" s="13"/>
      <c r="M8" s="13"/>
      <c r="N8" s="13"/>
      <c r="O8" s="13"/>
      <c r="P8" s="13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ht="13.5" customHeight="1">
      <c r="A9" s="2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ht="11.25" customHeight="1">
      <c r="A10" s="18" t="s">
        <v>10</v>
      </c>
      <c r="B10" s="18">
        <v>1.0</v>
      </c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ht="11.25" customHeight="1">
      <c r="A11" s="18" t="s">
        <v>11</v>
      </c>
      <c r="B11" s="18" t="s">
        <v>12</v>
      </c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ht="27.75" customHeight="1">
      <c r="A12" s="10" t="s">
        <v>13</v>
      </c>
      <c r="B12" s="10" t="s">
        <v>14</v>
      </c>
      <c r="C12" s="10" t="s">
        <v>15</v>
      </c>
      <c r="D12" s="10" t="s">
        <v>16</v>
      </c>
      <c r="E12" s="10" t="s">
        <v>17</v>
      </c>
      <c r="F12" s="10" t="s">
        <v>18</v>
      </c>
      <c r="G12" s="10" t="s">
        <v>19</v>
      </c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ht="11.25" customHeight="1">
      <c r="A13" s="27" t="s">
        <v>20</v>
      </c>
      <c r="B13" s="28" t="s">
        <v>21</v>
      </c>
      <c r="C13" s="28" t="s">
        <v>21</v>
      </c>
      <c r="D13" s="28" t="s">
        <v>22</v>
      </c>
      <c r="E13" s="28" t="s">
        <v>23</v>
      </c>
      <c r="F13" s="11" t="s">
        <v>24</v>
      </c>
      <c r="G13" s="11">
        <v>2.0</v>
      </c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11.25" customHeight="1">
      <c r="A14" s="27" t="s">
        <v>25</v>
      </c>
      <c r="B14" s="28" t="s">
        <v>26</v>
      </c>
      <c r="C14" s="28" t="s">
        <v>27</v>
      </c>
      <c r="D14" s="28" t="s">
        <v>28</v>
      </c>
      <c r="E14" s="28" t="s">
        <v>23</v>
      </c>
      <c r="F14" s="11" t="s">
        <v>24</v>
      </c>
      <c r="G14" s="11">
        <v>2.0</v>
      </c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11.25" customHeight="1">
      <c r="A15" s="27" t="s">
        <v>29</v>
      </c>
      <c r="B15" s="28" t="s">
        <v>30</v>
      </c>
      <c r="C15" s="28" t="s">
        <v>31</v>
      </c>
      <c r="D15" s="28" t="s">
        <v>28</v>
      </c>
      <c r="E15" s="28" t="s">
        <v>23</v>
      </c>
      <c r="F15" s="11" t="s">
        <v>24</v>
      </c>
      <c r="G15" s="11">
        <v>7.0</v>
      </c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11.25" customHeight="1">
      <c r="A16" s="27" t="s">
        <v>32</v>
      </c>
      <c r="B16" s="28" t="s">
        <v>33</v>
      </c>
      <c r="C16" s="28" t="s">
        <v>33</v>
      </c>
      <c r="D16" s="28" t="s">
        <v>34</v>
      </c>
      <c r="E16" s="28" t="s">
        <v>35</v>
      </c>
      <c r="F16" s="11" t="s">
        <v>36</v>
      </c>
      <c r="G16" s="11">
        <v>1.0</v>
      </c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11.25" customHeight="1">
      <c r="A17" s="30" t="s">
        <v>37</v>
      </c>
      <c r="B17" s="31" t="s">
        <v>38</v>
      </c>
      <c r="C17" s="31" t="s">
        <v>38</v>
      </c>
      <c r="D17" s="31" t="s">
        <v>39</v>
      </c>
      <c r="E17" s="31" t="s">
        <v>35</v>
      </c>
      <c r="F17" s="32" t="s">
        <v>36</v>
      </c>
      <c r="G17" s="32">
        <v>2.0</v>
      </c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 ht="11.25" customHeight="1">
      <c r="A18" s="27" t="s">
        <v>40</v>
      </c>
      <c r="B18" s="28" t="s">
        <v>41</v>
      </c>
      <c r="C18" s="28" t="s">
        <v>42</v>
      </c>
      <c r="D18" s="28" t="s">
        <v>43</v>
      </c>
      <c r="E18" s="28" t="s">
        <v>35</v>
      </c>
      <c r="F18" s="11" t="s">
        <v>36</v>
      </c>
      <c r="G18" s="11">
        <v>1.0</v>
      </c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11.25" customHeight="1">
      <c r="A19" s="27" t="s">
        <v>44</v>
      </c>
      <c r="B19" s="28" t="s">
        <v>45</v>
      </c>
      <c r="C19" s="28" t="s">
        <v>46</v>
      </c>
      <c r="D19" s="28" t="s">
        <v>47</v>
      </c>
      <c r="E19" s="28" t="s">
        <v>35</v>
      </c>
      <c r="F19" s="11" t="s">
        <v>36</v>
      </c>
      <c r="G19" s="11">
        <v>1.0</v>
      </c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11.25" customHeight="1">
      <c r="A20" s="30" t="s">
        <v>48</v>
      </c>
      <c r="B20" s="31" t="s">
        <v>49</v>
      </c>
      <c r="C20" s="31" t="s">
        <v>50</v>
      </c>
      <c r="D20" s="31" t="s">
        <v>51</v>
      </c>
      <c r="E20" s="31" t="s">
        <v>35</v>
      </c>
      <c r="F20" s="32" t="s">
        <v>36</v>
      </c>
      <c r="G20" s="32">
        <v>1.0</v>
      </c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ht="11.25" customHeight="1">
      <c r="A21" s="27" t="s">
        <v>52</v>
      </c>
      <c r="B21" s="28" t="s">
        <v>53</v>
      </c>
      <c r="C21" s="28" t="s">
        <v>54</v>
      </c>
      <c r="D21" s="28" t="s">
        <v>55</v>
      </c>
      <c r="E21" s="28" t="s">
        <v>35</v>
      </c>
      <c r="F21" s="11" t="s">
        <v>36</v>
      </c>
      <c r="G21" s="11">
        <v>1.0</v>
      </c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ht="11.25" customHeight="1">
      <c r="A22" s="30" t="s">
        <v>56</v>
      </c>
      <c r="B22" s="31" t="s">
        <v>57</v>
      </c>
      <c r="C22" s="31" t="s">
        <v>58</v>
      </c>
      <c r="D22" s="31" t="s">
        <v>59</v>
      </c>
      <c r="E22" s="31" t="s">
        <v>35</v>
      </c>
      <c r="F22" s="32" t="s">
        <v>36</v>
      </c>
      <c r="G22" s="32">
        <v>1.0</v>
      </c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ht="11.25" customHeight="1">
      <c r="A23" s="27" t="s">
        <v>60</v>
      </c>
      <c r="B23" s="28" t="s">
        <v>61</v>
      </c>
      <c r="C23" s="28" t="s">
        <v>62</v>
      </c>
      <c r="D23" s="28" t="s">
        <v>55</v>
      </c>
      <c r="E23" s="28" t="s">
        <v>35</v>
      </c>
      <c r="F23" s="11" t="s">
        <v>36</v>
      </c>
      <c r="G23" s="11">
        <v>1.0</v>
      </c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ht="11.25" customHeight="1">
      <c r="A24" s="27" t="s">
        <v>63</v>
      </c>
      <c r="B24" s="28" t="s">
        <v>64</v>
      </c>
      <c r="C24" s="28" t="s">
        <v>65</v>
      </c>
      <c r="D24" s="28" t="s">
        <v>66</v>
      </c>
      <c r="E24" s="28" t="s">
        <v>35</v>
      </c>
      <c r="F24" s="11" t="s">
        <v>36</v>
      </c>
      <c r="G24" s="11">
        <v>1.0</v>
      </c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ht="11.25" customHeight="1">
      <c r="A25" s="27" t="s">
        <v>67</v>
      </c>
      <c r="B25" s="28" t="s">
        <v>68</v>
      </c>
      <c r="C25" s="28" t="s">
        <v>69</v>
      </c>
      <c r="D25" s="28" t="s">
        <v>55</v>
      </c>
      <c r="E25" s="28" t="s">
        <v>35</v>
      </c>
      <c r="F25" s="11" t="s">
        <v>36</v>
      </c>
      <c r="G25" s="11">
        <v>1.0</v>
      </c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ht="11.25" customHeight="1">
      <c r="A26" s="27" t="s">
        <v>70</v>
      </c>
      <c r="B26" s="28" t="s">
        <v>71</v>
      </c>
      <c r="C26" s="28" t="s">
        <v>72</v>
      </c>
      <c r="D26" s="28" t="s">
        <v>73</v>
      </c>
      <c r="E26" s="28" t="s">
        <v>35</v>
      </c>
      <c r="F26" s="11" t="s">
        <v>36</v>
      </c>
      <c r="G26" s="11">
        <v>1.0</v>
      </c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ht="11.25" customHeight="1">
      <c r="A27" s="27" t="s">
        <v>74</v>
      </c>
      <c r="B27" s="28" t="s">
        <v>75</v>
      </c>
      <c r="C27" s="28" t="s">
        <v>76</v>
      </c>
      <c r="D27" s="28" t="s">
        <v>77</v>
      </c>
      <c r="E27" s="28" t="s">
        <v>35</v>
      </c>
      <c r="F27" s="11" t="s">
        <v>36</v>
      </c>
      <c r="G27" s="11">
        <v>1.0</v>
      </c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ht="11.25" customHeight="1">
      <c r="A28" s="27" t="s">
        <v>78</v>
      </c>
      <c r="B28" s="28" t="s">
        <v>79</v>
      </c>
      <c r="C28" s="28" t="s">
        <v>80</v>
      </c>
      <c r="D28" s="28" t="s">
        <v>81</v>
      </c>
      <c r="E28" s="28" t="s">
        <v>35</v>
      </c>
      <c r="F28" s="11" t="s">
        <v>36</v>
      </c>
      <c r="G28" s="11">
        <v>1.0</v>
      </c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ht="11.25" customHeight="1">
      <c r="A29" s="30" t="s">
        <v>82</v>
      </c>
      <c r="B29" s="31" t="s">
        <v>83</v>
      </c>
      <c r="C29" s="31" t="s">
        <v>84</v>
      </c>
      <c r="D29" s="31" t="s">
        <v>85</v>
      </c>
      <c r="E29" s="31" t="s">
        <v>35</v>
      </c>
      <c r="F29" s="32" t="s">
        <v>36</v>
      </c>
      <c r="G29" s="32">
        <v>1.0</v>
      </c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ht="11.25" customHeight="1">
      <c r="A30" s="30" t="s">
        <v>86</v>
      </c>
      <c r="B30" s="31" t="s">
        <v>87</v>
      </c>
      <c r="C30" s="31" t="s">
        <v>88</v>
      </c>
      <c r="D30" s="31" t="s">
        <v>89</v>
      </c>
      <c r="E30" s="31" t="s">
        <v>35</v>
      </c>
      <c r="F30" s="32" t="s">
        <v>36</v>
      </c>
      <c r="G30" s="32">
        <v>1.0</v>
      </c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ht="11.25" customHeight="1">
      <c r="A31" s="27" t="s">
        <v>90</v>
      </c>
      <c r="B31" s="28" t="s">
        <v>91</v>
      </c>
      <c r="C31" s="28" t="s">
        <v>92</v>
      </c>
      <c r="D31" s="28" t="s">
        <v>93</v>
      </c>
      <c r="E31" s="28" t="s">
        <v>35</v>
      </c>
      <c r="F31" s="11" t="s">
        <v>36</v>
      </c>
      <c r="G31" s="11">
        <v>1.0</v>
      </c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ht="11.25" customHeight="1">
      <c r="A32" s="27" t="s">
        <v>94</v>
      </c>
      <c r="B32" s="28" t="s">
        <v>95</v>
      </c>
      <c r="C32" s="28" t="s">
        <v>96</v>
      </c>
      <c r="D32" s="34" t="s">
        <v>97</v>
      </c>
      <c r="E32" s="28" t="s">
        <v>98</v>
      </c>
      <c r="F32" s="11" t="s">
        <v>99</v>
      </c>
      <c r="G32" s="11">
        <v>2.0</v>
      </c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ht="11.25" customHeight="1">
      <c r="A33" s="27" t="s">
        <v>100</v>
      </c>
      <c r="B33" s="28" t="s">
        <v>101</v>
      </c>
      <c r="C33" s="28" t="s">
        <v>102</v>
      </c>
      <c r="D33" s="28" t="s">
        <v>85</v>
      </c>
      <c r="E33" s="28" t="s">
        <v>35</v>
      </c>
      <c r="F33" s="11" t="s">
        <v>36</v>
      </c>
      <c r="G33" s="11">
        <v>1.0</v>
      </c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 ht="11.25" customHeight="1">
      <c r="A34" s="27" t="s">
        <v>103</v>
      </c>
      <c r="B34" s="28" t="s">
        <v>104</v>
      </c>
      <c r="C34" s="28" t="s">
        <v>105</v>
      </c>
      <c r="D34" s="35" t="s">
        <v>106</v>
      </c>
      <c r="E34" s="28" t="s">
        <v>98</v>
      </c>
      <c r="F34" s="11" t="s">
        <v>107</v>
      </c>
      <c r="G34" s="11">
        <v>2.0</v>
      </c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 ht="11.25" customHeight="1">
      <c r="A35" s="30" t="s">
        <v>108</v>
      </c>
      <c r="B35" s="31" t="s">
        <v>109</v>
      </c>
      <c r="C35" s="31" t="s">
        <v>110</v>
      </c>
      <c r="D35" s="31" t="s">
        <v>111</v>
      </c>
      <c r="E35" s="31" t="s">
        <v>35</v>
      </c>
      <c r="F35" s="32" t="s">
        <v>36</v>
      </c>
      <c r="G35" s="32">
        <v>1.0</v>
      </c>
      <c r="H35" s="33"/>
      <c r="I35" s="33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ht="11.25" customHeight="1">
      <c r="A36" s="27" t="s">
        <v>112</v>
      </c>
      <c r="B36" s="28" t="s">
        <v>27</v>
      </c>
      <c r="C36" s="28" t="s">
        <v>110</v>
      </c>
      <c r="D36" s="28" t="s">
        <v>22</v>
      </c>
      <c r="E36" s="28" t="s">
        <v>23</v>
      </c>
      <c r="F36" s="11" t="s">
        <v>24</v>
      </c>
      <c r="G36" s="11">
        <v>4.0</v>
      </c>
      <c r="H36" s="29"/>
      <c r="I36" s="29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 ht="11.25" customHeight="1">
      <c r="A37" s="27" t="s">
        <v>113</v>
      </c>
      <c r="B37" s="28" t="s">
        <v>114</v>
      </c>
      <c r="C37" s="28" t="s">
        <v>110</v>
      </c>
      <c r="D37" s="28"/>
      <c r="E37" s="28" t="s">
        <v>23</v>
      </c>
      <c r="F37" s="11" t="s">
        <v>24</v>
      </c>
      <c r="G37" s="11">
        <v>21.0</v>
      </c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 ht="11.25" customHeight="1">
      <c r="A38" s="27" t="s">
        <v>115</v>
      </c>
      <c r="B38" s="28" t="s">
        <v>116</v>
      </c>
      <c r="C38" s="28" t="s">
        <v>117</v>
      </c>
      <c r="D38" s="28" t="s">
        <v>118</v>
      </c>
      <c r="E38" s="28" t="s">
        <v>98</v>
      </c>
      <c r="F38" s="11" t="s">
        <v>99</v>
      </c>
      <c r="G38" s="11">
        <v>2.0</v>
      </c>
      <c r="H38" s="29"/>
      <c r="I38" s="29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 ht="11.25" customHeight="1">
      <c r="A39" s="27" t="s">
        <v>119</v>
      </c>
      <c r="B39" s="28" t="s">
        <v>120</v>
      </c>
      <c r="C39" s="28" t="s">
        <v>121</v>
      </c>
      <c r="D39" s="28" t="s">
        <v>118</v>
      </c>
      <c r="E39" s="28" t="s">
        <v>98</v>
      </c>
      <c r="F39" s="11" t="s">
        <v>99</v>
      </c>
      <c r="G39" s="11">
        <v>2.0</v>
      </c>
      <c r="H39" s="29"/>
      <c r="I39" s="29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 ht="11.25" customHeight="1">
      <c r="A40" s="27" t="s">
        <v>122</v>
      </c>
      <c r="B40" s="28" t="s">
        <v>123</v>
      </c>
      <c r="C40" s="28" t="s">
        <v>124</v>
      </c>
      <c r="D40" s="28" t="s">
        <v>125</v>
      </c>
      <c r="E40" s="28" t="s">
        <v>98</v>
      </c>
      <c r="F40" s="11" t="s">
        <v>99</v>
      </c>
      <c r="G40" s="11">
        <v>4.0</v>
      </c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 ht="11.25" customHeight="1">
      <c r="A41" s="27" t="s">
        <v>126</v>
      </c>
      <c r="B41" s="28" t="s">
        <v>127</v>
      </c>
      <c r="C41" s="28" t="s">
        <v>128</v>
      </c>
      <c r="D41" s="28" t="s">
        <v>129</v>
      </c>
      <c r="E41" s="28" t="s">
        <v>35</v>
      </c>
      <c r="F41" s="11" t="s">
        <v>36</v>
      </c>
      <c r="G41" s="11">
        <v>1.0</v>
      </c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 ht="11.25" customHeight="1">
      <c r="A42" s="27" t="s">
        <v>130</v>
      </c>
      <c r="B42" s="28" t="s">
        <v>131</v>
      </c>
      <c r="C42" s="28" t="s">
        <v>132</v>
      </c>
      <c r="D42" s="28" t="s">
        <v>133</v>
      </c>
      <c r="E42" s="28" t="s">
        <v>35</v>
      </c>
      <c r="F42" s="11" t="s">
        <v>36</v>
      </c>
      <c r="G42" s="11">
        <v>1.0</v>
      </c>
      <c r="H42" s="29"/>
      <c r="I42" s="29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 ht="11.25" customHeight="1">
      <c r="A43" s="27" t="s">
        <v>134</v>
      </c>
      <c r="B43" s="28" t="s">
        <v>135</v>
      </c>
      <c r="C43" s="28" t="s">
        <v>136</v>
      </c>
      <c r="D43" s="28" t="s">
        <v>137</v>
      </c>
      <c r="E43" s="28" t="s">
        <v>35</v>
      </c>
      <c r="F43" s="11" t="s">
        <v>36</v>
      </c>
      <c r="G43" s="11">
        <v>1.0</v>
      </c>
      <c r="H43" s="29"/>
      <c r="I43" s="29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 ht="11.25" customHeight="1">
      <c r="A44" s="27" t="s">
        <v>138</v>
      </c>
      <c r="B44" s="28" t="s">
        <v>139</v>
      </c>
      <c r="C44" s="28" t="s">
        <v>140</v>
      </c>
      <c r="D44" s="28" t="s">
        <v>85</v>
      </c>
      <c r="E44" s="28" t="s">
        <v>141</v>
      </c>
      <c r="F44" s="11" t="s">
        <v>36</v>
      </c>
      <c r="G44" s="11">
        <v>1.0</v>
      </c>
      <c r="H44" s="29"/>
      <c r="I44" s="29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</row>
    <row r="45" ht="11.25" customHeight="1">
      <c r="A45" s="38" t="s">
        <v>142</v>
      </c>
      <c r="B45" s="37"/>
      <c r="C45" s="29"/>
      <c r="D45" s="29"/>
      <c r="E45" s="37"/>
      <c r="F45" s="37"/>
      <c r="G45" s="37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 ht="11.25" customHeight="1">
      <c r="A46" s="29"/>
      <c r="B46" s="37"/>
      <c r="C46" s="29"/>
      <c r="D46" s="29"/>
      <c r="E46" s="37"/>
      <c r="F46" s="37"/>
      <c r="G46" s="37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 ht="11.25" customHeight="1">
      <c r="A47" s="29"/>
      <c r="B47" s="37"/>
      <c r="C47" s="29"/>
      <c r="D47" s="29"/>
      <c r="E47" s="37"/>
      <c r="F47" s="37"/>
      <c r="G47" s="37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 ht="11.25" customHeight="1">
      <c r="A48" s="29"/>
      <c r="B48" s="37"/>
      <c r="C48" s="29"/>
      <c r="D48" s="29"/>
      <c r="E48" s="37"/>
      <c r="F48" s="37"/>
      <c r="G48" s="37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 ht="11.25" customHeight="1">
      <c r="A49" s="29"/>
      <c r="B49" s="37"/>
      <c r="C49" s="29"/>
      <c r="D49" s="29"/>
      <c r="E49" s="37"/>
      <c r="F49" s="37"/>
      <c r="G49" s="37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 ht="11.25" customHeight="1">
      <c r="A50" s="29"/>
      <c r="B50" s="37"/>
      <c r="C50" s="29"/>
      <c r="D50" s="29"/>
      <c r="E50" s="37"/>
      <c r="F50" s="37"/>
      <c r="G50" s="37"/>
      <c r="H50" s="37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 ht="11.25" customHeight="1">
      <c r="A51" s="29"/>
      <c r="B51" s="37"/>
      <c r="C51" s="29"/>
      <c r="D51" s="29"/>
      <c r="E51" s="37"/>
      <c r="F51" s="37"/>
      <c r="G51" s="37"/>
      <c r="H51" s="37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 ht="11.25" customHeight="1">
      <c r="A52" s="29"/>
      <c r="B52" s="37"/>
      <c r="C52" s="29"/>
      <c r="D52" s="29"/>
      <c r="E52" s="37"/>
      <c r="F52" s="37"/>
      <c r="G52" s="37"/>
      <c r="H52" s="37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 ht="11.25" customHeight="1">
      <c r="A53" s="29"/>
      <c r="B53" s="37"/>
      <c r="C53" s="29"/>
      <c r="D53" s="29"/>
      <c r="E53" s="37"/>
      <c r="F53" s="37"/>
      <c r="G53" s="37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 ht="11.25" customHeight="1">
      <c r="A54" s="29"/>
      <c r="B54" s="37"/>
      <c r="C54" s="29"/>
      <c r="D54" s="29"/>
      <c r="E54" s="37"/>
      <c r="F54" s="37"/>
      <c r="G54" s="37"/>
      <c r="H54" s="37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 ht="11.25" customHeight="1">
      <c r="A55" s="29"/>
      <c r="B55" s="37"/>
      <c r="C55" s="29"/>
      <c r="D55" s="29"/>
      <c r="E55" s="37"/>
      <c r="F55" s="37"/>
      <c r="G55" s="37"/>
      <c r="H55" s="37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 ht="11.25" customHeight="1">
      <c r="A56" s="29"/>
      <c r="B56" s="37"/>
      <c r="C56" s="29"/>
      <c r="D56" s="29"/>
      <c r="E56" s="37"/>
      <c r="F56" s="37"/>
      <c r="G56" s="37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 ht="11.25" customHeight="1">
      <c r="A57" s="29"/>
      <c r="B57" s="37"/>
      <c r="C57" s="29"/>
      <c r="D57" s="29"/>
      <c r="E57" s="37"/>
      <c r="F57" s="37"/>
      <c r="G57" s="37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 ht="11.25" customHeight="1">
      <c r="A58" s="29"/>
      <c r="B58" s="37"/>
      <c r="C58" s="29"/>
      <c r="D58" s="29"/>
      <c r="E58" s="37"/>
      <c r="F58" s="37"/>
      <c r="G58" s="37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 ht="11.25" customHeight="1">
      <c r="A59" s="29"/>
      <c r="B59" s="37"/>
      <c r="C59" s="29"/>
      <c r="D59" s="29"/>
      <c r="E59" s="37"/>
      <c r="F59" s="37"/>
      <c r="G59" s="37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 ht="11.25" customHeight="1">
      <c r="A60" s="29"/>
      <c r="B60" s="37"/>
      <c r="C60" s="29"/>
      <c r="D60" s="29"/>
      <c r="E60" s="37"/>
      <c r="F60" s="37"/>
      <c r="G60" s="37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 ht="11.25" customHeight="1">
      <c r="A61" s="29"/>
      <c r="B61" s="37"/>
      <c r="C61" s="29"/>
      <c r="D61" s="29"/>
      <c r="E61" s="37"/>
      <c r="F61" s="37"/>
      <c r="G61" s="37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 ht="11.25" customHeight="1">
      <c r="A62" s="29"/>
      <c r="B62" s="37"/>
      <c r="C62" s="29"/>
      <c r="D62" s="29"/>
      <c r="E62" s="37"/>
      <c r="F62" s="37"/>
      <c r="G62" s="37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 ht="11.25" customHeight="1">
      <c r="A63" s="29"/>
      <c r="B63" s="37"/>
      <c r="C63" s="29"/>
      <c r="D63" s="29"/>
      <c r="E63" s="37"/>
      <c r="F63" s="37"/>
      <c r="G63" s="37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 ht="11.25" customHeight="1">
      <c r="A64" s="29"/>
      <c r="B64" s="37"/>
      <c r="C64" s="29"/>
      <c r="D64" s="29"/>
      <c r="E64" s="37"/>
      <c r="F64" s="37"/>
      <c r="G64" s="37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 ht="11.25" customHeight="1">
      <c r="A65" s="29"/>
      <c r="B65" s="37"/>
      <c r="C65" s="29"/>
      <c r="D65" s="29"/>
      <c r="E65" s="37"/>
      <c r="F65" s="37"/>
      <c r="G65" s="37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 ht="11.25" customHeight="1">
      <c r="A66" s="29"/>
      <c r="B66" s="37"/>
      <c r="C66" s="29"/>
      <c r="D66" s="29"/>
      <c r="E66" s="37"/>
      <c r="F66" s="37"/>
      <c r="G66" s="37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 ht="11.25" customHeight="1">
      <c r="A67" s="29"/>
      <c r="B67" s="37"/>
      <c r="C67" s="29"/>
      <c r="D67" s="29"/>
      <c r="E67" s="37"/>
      <c r="F67" s="37"/>
      <c r="G67" s="37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 ht="11.25" customHeight="1">
      <c r="A68" s="29"/>
      <c r="B68" s="37"/>
      <c r="C68" s="29"/>
      <c r="D68" s="29"/>
      <c r="E68" s="37"/>
      <c r="F68" s="37"/>
      <c r="G68" s="37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 ht="11.25" customHeight="1">
      <c r="A69" s="29"/>
      <c r="B69" s="37"/>
      <c r="C69" s="29"/>
      <c r="D69" s="29"/>
      <c r="E69" s="37"/>
      <c r="F69" s="37"/>
      <c r="G69" s="37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 ht="11.25" customHeight="1">
      <c r="A70" s="29"/>
      <c r="B70" s="37"/>
      <c r="C70" s="29"/>
      <c r="D70" s="29"/>
      <c r="E70" s="37"/>
      <c r="F70" s="37"/>
      <c r="G70" s="37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 ht="11.25" customHeight="1">
      <c r="A71" s="29"/>
      <c r="B71" s="37"/>
      <c r="C71" s="29"/>
      <c r="D71" s="29"/>
      <c r="E71" s="37"/>
      <c r="F71" s="37"/>
      <c r="G71" s="37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 ht="11.25" customHeight="1">
      <c r="A72" s="29"/>
      <c r="B72" s="37"/>
      <c r="C72" s="29"/>
      <c r="D72" s="29"/>
      <c r="E72" s="37"/>
      <c r="F72" s="37"/>
      <c r="G72" s="37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 ht="11.25" customHeight="1">
      <c r="A73" s="29"/>
      <c r="B73" s="37"/>
      <c r="C73" s="29"/>
      <c r="D73" s="29"/>
      <c r="E73" s="37"/>
      <c r="F73" s="37"/>
      <c r="G73" s="37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 ht="11.25" customHeight="1">
      <c r="A74" s="29"/>
      <c r="B74" s="37"/>
      <c r="C74" s="29"/>
      <c r="D74" s="29"/>
      <c r="E74" s="37"/>
      <c r="F74" s="37"/>
      <c r="G74" s="37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 ht="11.25" customHeight="1">
      <c r="A75" s="29"/>
      <c r="B75" s="37"/>
      <c r="C75" s="29"/>
      <c r="D75" s="29"/>
      <c r="E75" s="37"/>
      <c r="F75" s="37"/>
      <c r="G75" s="37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 ht="11.25" customHeight="1">
      <c r="A76" s="29"/>
      <c r="B76" s="37"/>
      <c r="C76" s="29"/>
      <c r="D76" s="29"/>
      <c r="E76" s="37"/>
      <c r="F76" s="37"/>
      <c r="G76" s="37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 ht="11.25" customHeight="1">
      <c r="A77" s="29"/>
      <c r="B77" s="37"/>
      <c r="C77" s="29"/>
      <c r="D77" s="29"/>
      <c r="E77" s="37"/>
      <c r="F77" s="37"/>
      <c r="G77" s="37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 ht="11.25" customHeight="1">
      <c r="A78" s="29"/>
      <c r="B78" s="37"/>
      <c r="C78" s="29"/>
      <c r="D78" s="29"/>
      <c r="E78" s="37"/>
      <c r="F78" s="37"/>
      <c r="G78" s="37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 ht="11.25" customHeight="1">
      <c r="A79" s="29"/>
      <c r="B79" s="37"/>
      <c r="C79" s="29"/>
      <c r="D79" s="29"/>
      <c r="E79" s="37"/>
      <c r="F79" s="37"/>
      <c r="G79" s="37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 ht="11.25" customHeight="1">
      <c r="A80" s="29"/>
      <c r="B80" s="37"/>
      <c r="C80" s="29"/>
      <c r="D80" s="29"/>
      <c r="E80" s="37"/>
      <c r="F80" s="37"/>
      <c r="G80" s="37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 ht="11.25" customHeight="1">
      <c r="A81" s="29"/>
      <c r="B81" s="37"/>
      <c r="C81" s="29"/>
      <c r="D81" s="29"/>
      <c r="E81" s="37"/>
      <c r="F81" s="37"/>
      <c r="G81" s="37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 ht="11.25" customHeight="1">
      <c r="A82" s="29"/>
      <c r="B82" s="37"/>
      <c r="C82" s="29"/>
      <c r="D82" s="29"/>
      <c r="E82" s="37"/>
      <c r="F82" s="37"/>
      <c r="G82" s="37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 ht="11.25" customHeight="1">
      <c r="A83" s="29"/>
      <c r="B83" s="37"/>
      <c r="C83" s="29"/>
      <c r="D83" s="29"/>
      <c r="E83" s="37"/>
      <c r="F83" s="37"/>
      <c r="G83" s="37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 ht="11.25" customHeight="1">
      <c r="A84" s="29"/>
      <c r="B84" s="37"/>
      <c r="C84" s="29"/>
      <c r="D84" s="29"/>
      <c r="E84" s="37"/>
      <c r="F84" s="37"/>
      <c r="G84" s="37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 ht="11.25" customHeight="1">
      <c r="A85" s="29"/>
      <c r="B85" s="37"/>
      <c r="C85" s="29"/>
      <c r="D85" s="29"/>
      <c r="E85" s="37"/>
      <c r="F85" s="37"/>
      <c r="G85" s="37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 ht="11.25" customHeight="1">
      <c r="A86" s="29"/>
      <c r="B86" s="37"/>
      <c r="C86" s="29"/>
      <c r="D86" s="29"/>
      <c r="E86" s="37"/>
      <c r="F86" s="37"/>
      <c r="G86" s="37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 ht="11.25" customHeight="1">
      <c r="A87" s="29"/>
      <c r="B87" s="37"/>
      <c r="C87" s="29"/>
      <c r="D87" s="29"/>
      <c r="E87" s="37"/>
      <c r="F87" s="37"/>
      <c r="G87" s="37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 ht="11.25" customHeight="1">
      <c r="A88" s="29"/>
      <c r="B88" s="37"/>
      <c r="C88" s="29"/>
      <c r="D88" s="29"/>
      <c r="E88" s="37"/>
      <c r="F88" s="37"/>
      <c r="G88" s="37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 ht="11.25" customHeight="1">
      <c r="A89" s="29"/>
      <c r="B89" s="37"/>
      <c r="C89" s="29"/>
      <c r="D89" s="29"/>
      <c r="E89" s="37"/>
      <c r="F89" s="37"/>
      <c r="G89" s="37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 ht="11.25" customHeight="1">
      <c r="A90" s="29"/>
      <c r="B90" s="37"/>
      <c r="C90" s="29"/>
      <c r="D90" s="29"/>
      <c r="E90" s="37"/>
      <c r="F90" s="37"/>
      <c r="G90" s="37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 ht="11.25" customHeight="1">
      <c r="A91" s="29"/>
      <c r="B91" s="37"/>
      <c r="C91" s="29"/>
      <c r="D91" s="29"/>
      <c r="E91" s="37"/>
      <c r="F91" s="37"/>
      <c r="G91" s="37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 ht="11.25" customHeight="1">
      <c r="A92" s="29"/>
      <c r="B92" s="37"/>
      <c r="C92" s="29"/>
      <c r="D92" s="29"/>
      <c r="E92" s="37"/>
      <c r="F92" s="37"/>
      <c r="G92" s="37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 ht="11.25" customHeight="1">
      <c r="A93" s="29"/>
      <c r="B93" s="37"/>
      <c r="C93" s="29"/>
      <c r="D93" s="29"/>
      <c r="E93" s="37"/>
      <c r="F93" s="37"/>
      <c r="G93" s="37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 ht="11.25" customHeight="1">
      <c r="A94" s="29"/>
      <c r="B94" s="37"/>
      <c r="C94" s="29"/>
      <c r="D94" s="29"/>
      <c r="E94" s="37"/>
      <c r="F94" s="37"/>
      <c r="G94" s="37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 ht="11.25" customHeight="1">
      <c r="A95" s="29"/>
      <c r="B95" s="37"/>
      <c r="C95" s="29"/>
      <c r="D95" s="29"/>
      <c r="E95" s="37"/>
      <c r="F95" s="37"/>
      <c r="G95" s="37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 ht="11.25" customHeight="1">
      <c r="A96" s="29"/>
      <c r="B96" s="37"/>
      <c r="C96" s="29"/>
      <c r="D96" s="29"/>
      <c r="E96" s="37"/>
      <c r="F96" s="37"/>
      <c r="G96" s="37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 ht="11.25" customHeight="1">
      <c r="A97" s="29"/>
      <c r="B97" s="37"/>
      <c r="C97" s="29"/>
      <c r="D97" s="29"/>
      <c r="E97" s="37"/>
      <c r="F97" s="37"/>
      <c r="G97" s="37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 ht="11.25" customHeight="1">
      <c r="A98" s="29"/>
      <c r="B98" s="37"/>
      <c r="C98" s="29"/>
      <c r="D98" s="29"/>
      <c r="E98" s="37"/>
      <c r="F98" s="37"/>
      <c r="G98" s="37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 ht="11.25" customHeight="1">
      <c r="A99" s="29"/>
      <c r="B99" s="37"/>
      <c r="C99" s="29"/>
      <c r="D99" s="29"/>
      <c r="E99" s="37"/>
      <c r="F99" s="37"/>
      <c r="G99" s="37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 ht="11.25" customHeight="1">
      <c r="A100" s="29"/>
      <c r="B100" s="37"/>
      <c r="C100" s="29"/>
      <c r="D100" s="29"/>
      <c r="E100" s="37"/>
      <c r="F100" s="37"/>
      <c r="G100" s="37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 ht="11.25" customHeight="1">
      <c r="A101" s="29"/>
      <c r="B101" s="37"/>
      <c r="C101" s="29"/>
      <c r="D101" s="29"/>
      <c r="E101" s="37"/>
      <c r="F101" s="37"/>
      <c r="G101" s="37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 ht="11.25" customHeight="1">
      <c r="A102" s="29"/>
      <c r="B102" s="37"/>
      <c r="C102" s="29"/>
      <c r="D102" s="29"/>
      <c r="E102" s="37"/>
      <c r="F102" s="37"/>
      <c r="G102" s="37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 ht="11.25" customHeight="1">
      <c r="A103" s="29"/>
      <c r="B103" s="37"/>
      <c r="C103" s="29"/>
      <c r="D103" s="29"/>
      <c r="E103" s="37"/>
      <c r="F103" s="37"/>
      <c r="G103" s="37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 ht="11.25" customHeight="1">
      <c r="A104" s="29"/>
      <c r="B104" s="37"/>
      <c r="C104" s="29"/>
      <c r="D104" s="29"/>
      <c r="E104" s="37"/>
      <c r="F104" s="37"/>
      <c r="G104" s="37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 ht="11.25" customHeight="1">
      <c r="A105" s="29"/>
      <c r="B105" s="37"/>
      <c r="C105" s="29"/>
      <c r="D105" s="29"/>
      <c r="E105" s="37"/>
      <c r="F105" s="37"/>
      <c r="G105" s="37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 ht="11.25" customHeight="1">
      <c r="A106" s="29"/>
      <c r="B106" s="37"/>
      <c r="C106" s="29"/>
      <c r="D106" s="29"/>
      <c r="E106" s="37"/>
      <c r="F106" s="37"/>
      <c r="G106" s="37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 ht="11.25" customHeight="1">
      <c r="A107" s="29"/>
      <c r="B107" s="37"/>
      <c r="C107" s="29"/>
      <c r="D107" s="29"/>
      <c r="E107" s="37"/>
      <c r="F107" s="37"/>
      <c r="G107" s="37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 ht="11.25" customHeight="1">
      <c r="A108" s="29"/>
      <c r="B108" s="37"/>
      <c r="C108" s="29"/>
      <c r="D108" s="29"/>
      <c r="E108" s="37"/>
      <c r="F108" s="37"/>
      <c r="G108" s="37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 ht="11.25" customHeight="1">
      <c r="A109" s="29"/>
      <c r="B109" s="37"/>
      <c r="C109" s="29"/>
      <c r="D109" s="29"/>
      <c r="E109" s="37"/>
      <c r="F109" s="37"/>
      <c r="G109" s="37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 ht="11.25" customHeight="1">
      <c r="A110" s="29"/>
      <c r="B110" s="37"/>
      <c r="C110" s="29"/>
      <c r="D110" s="29"/>
      <c r="E110" s="37"/>
      <c r="F110" s="37"/>
      <c r="G110" s="37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 ht="11.25" customHeight="1">
      <c r="A111" s="29"/>
      <c r="B111" s="37"/>
      <c r="C111" s="29"/>
      <c r="D111" s="29"/>
      <c r="E111" s="37"/>
      <c r="F111" s="37"/>
      <c r="G111" s="37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 ht="11.25" customHeight="1">
      <c r="A112" s="29"/>
      <c r="B112" s="37"/>
      <c r="C112" s="29"/>
      <c r="D112" s="29"/>
      <c r="E112" s="37"/>
      <c r="F112" s="37"/>
      <c r="G112" s="37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 ht="11.25" customHeight="1">
      <c r="A113" s="29"/>
      <c r="B113" s="37"/>
      <c r="C113" s="29"/>
      <c r="D113" s="29"/>
      <c r="E113" s="37"/>
      <c r="F113" s="37"/>
      <c r="G113" s="37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 ht="11.25" customHeight="1">
      <c r="A114" s="29"/>
      <c r="B114" s="37"/>
      <c r="C114" s="29"/>
      <c r="D114" s="29"/>
      <c r="E114" s="37"/>
      <c r="F114" s="37"/>
      <c r="G114" s="37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 ht="11.25" customHeight="1">
      <c r="A115" s="29"/>
      <c r="B115" s="37"/>
      <c r="C115" s="29"/>
      <c r="D115" s="29"/>
      <c r="E115" s="37"/>
      <c r="F115" s="37"/>
      <c r="G115" s="37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 ht="11.25" customHeight="1">
      <c r="A116" s="29"/>
      <c r="B116" s="37"/>
      <c r="C116" s="29"/>
      <c r="D116" s="29"/>
      <c r="E116" s="37"/>
      <c r="F116" s="37"/>
      <c r="G116" s="37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 ht="11.25" customHeight="1">
      <c r="A117" s="29"/>
      <c r="B117" s="37"/>
      <c r="C117" s="29"/>
      <c r="D117" s="29"/>
      <c r="E117" s="37"/>
      <c r="F117" s="37"/>
      <c r="G117" s="37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 ht="11.25" customHeight="1">
      <c r="A118" s="29"/>
      <c r="B118" s="37"/>
      <c r="C118" s="29"/>
      <c r="D118" s="29"/>
      <c r="E118" s="37"/>
      <c r="F118" s="37"/>
      <c r="G118" s="37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 ht="11.25" customHeight="1">
      <c r="A119" s="29"/>
      <c r="B119" s="37"/>
      <c r="C119" s="29"/>
      <c r="D119" s="29"/>
      <c r="E119" s="37"/>
      <c r="F119" s="37"/>
      <c r="G119" s="37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 ht="11.25" customHeight="1">
      <c r="A120" s="29"/>
      <c r="B120" s="37"/>
      <c r="C120" s="29"/>
      <c r="D120" s="29"/>
      <c r="E120" s="37"/>
      <c r="F120" s="37"/>
      <c r="G120" s="37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 ht="11.25" customHeight="1">
      <c r="A121" s="29"/>
      <c r="B121" s="37"/>
      <c r="C121" s="29"/>
      <c r="D121" s="29"/>
      <c r="E121" s="37"/>
      <c r="F121" s="37"/>
      <c r="G121" s="37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 ht="11.25" customHeight="1">
      <c r="A122" s="29"/>
      <c r="B122" s="37"/>
      <c r="C122" s="29"/>
      <c r="D122" s="29"/>
      <c r="E122" s="37"/>
      <c r="F122" s="37"/>
      <c r="G122" s="37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 ht="11.25" customHeight="1">
      <c r="A123" s="29"/>
      <c r="B123" s="37"/>
      <c r="C123" s="29"/>
      <c r="D123" s="29"/>
      <c r="E123" s="37"/>
      <c r="F123" s="37"/>
      <c r="G123" s="37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 ht="11.25" customHeight="1">
      <c r="A124" s="29"/>
      <c r="B124" s="37"/>
      <c r="C124" s="29"/>
      <c r="D124" s="29"/>
      <c r="E124" s="37"/>
      <c r="F124" s="37"/>
      <c r="G124" s="37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 ht="11.25" customHeight="1">
      <c r="A125" s="29"/>
      <c r="B125" s="37"/>
      <c r="C125" s="29"/>
      <c r="D125" s="29"/>
      <c r="E125" s="37"/>
      <c r="F125" s="37"/>
      <c r="G125" s="37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 ht="11.25" customHeight="1">
      <c r="A126" s="29"/>
      <c r="B126" s="37"/>
      <c r="C126" s="29"/>
      <c r="D126" s="29"/>
      <c r="E126" s="37"/>
      <c r="F126" s="37"/>
      <c r="G126" s="37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 ht="11.25" customHeight="1">
      <c r="A127" s="29"/>
      <c r="B127" s="37"/>
      <c r="C127" s="29"/>
      <c r="D127" s="29"/>
      <c r="E127" s="37"/>
      <c r="F127" s="37"/>
      <c r="G127" s="37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 ht="11.25" customHeight="1">
      <c r="A128" s="29"/>
      <c r="B128" s="37"/>
      <c r="C128" s="29"/>
      <c r="D128" s="29"/>
      <c r="E128" s="37"/>
      <c r="F128" s="37"/>
      <c r="G128" s="37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 ht="11.25" customHeight="1">
      <c r="A129" s="29"/>
      <c r="B129" s="37"/>
      <c r="C129" s="29"/>
      <c r="D129" s="29"/>
      <c r="E129" s="37"/>
      <c r="F129" s="37"/>
      <c r="G129" s="37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 ht="11.25" customHeight="1">
      <c r="A130" s="29"/>
      <c r="B130" s="37"/>
      <c r="C130" s="29"/>
      <c r="D130" s="29"/>
      <c r="E130" s="37"/>
      <c r="F130" s="37"/>
      <c r="G130" s="37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 ht="11.25" customHeight="1">
      <c r="A131" s="29"/>
      <c r="B131" s="37"/>
      <c r="C131" s="29"/>
      <c r="D131" s="29"/>
      <c r="E131" s="37"/>
      <c r="F131" s="37"/>
      <c r="G131" s="37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 ht="11.25" customHeight="1">
      <c r="A132" s="29"/>
      <c r="B132" s="37"/>
      <c r="C132" s="29"/>
      <c r="D132" s="29"/>
      <c r="E132" s="37"/>
      <c r="F132" s="37"/>
      <c r="G132" s="37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 ht="11.25" customHeight="1">
      <c r="A133" s="29"/>
      <c r="B133" s="37"/>
      <c r="C133" s="29"/>
      <c r="D133" s="29"/>
      <c r="E133" s="37"/>
      <c r="F133" s="37"/>
      <c r="G133" s="37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 ht="11.25" customHeight="1">
      <c r="A134" s="29"/>
      <c r="B134" s="37"/>
      <c r="C134" s="29"/>
      <c r="D134" s="29"/>
      <c r="E134" s="37"/>
      <c r="F134" s="37"/>
      <c r="G134" s="37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 ht="11.25" customHeight="1">
      <c r="A135" s="29"/>
      <c r="B135" s="37"/>
      <c r="C135" s="29"/>
      <c r="D135" s="29"/>
      <c r="E135" s="37"/>
      <c r="F135" s="37"/>
      <c r="G135" s="37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 ht="11.25" customHeight="1">
      <c r="A136" s="29"/>
      <c r="B136" s="37"/>
      <c r="C136" s="29"/>
      <c r="D136" s="29"/>
      <c r="E136" s="37"/>
      <c r="F136" s="37"/>
      <c r="G136" s="37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 ht="11.25" customHeight="1">
      <c r="A137" s="29"/>
      <c r="B137" s="37"/>
      <c r="C137" s="29"/>
      <c r="D137" s="29"/>
      <c r="E137" s="37"/>
      <c r="F137" s="37"/>
      <c r="G137" s="37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 ht="11.25" customHeight="1">
      <c r="A138" s="29"/>
      <c r="B138" s="37"/>
      <c r="C138" s="29"/>
      <c r="D138" s="29"/>
      <c r="E138" s="37"/>
      <c r="F138" s="37"/>
      <c r="G138" s="37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 ht="11.25" customHeight="1">
      <c r="A139" s="29"/>
      <c r="B139" s="37"/>
      <c r="C139" s="29"/>
      <c r="D139" s="29"/>
      <c r="E139" s="37"/>
      <c r="F139" s="37"/>
      <c r="G139" s="37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 ht="11.25" customHeight="1">
      <c r="A140" s="29"/>
      <c r="B140" s="37"/>
      <c r="C140" s="29"/>
      <c r="D140" s="29"/>
      <c r="E140" s="37"/>
      <c r="F140" s="37"/>
      <c r="G140" s="37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 ht="11.25" customHeight="1">
      <c r="A141" s="29"/>
      <c r="B141" s="37"/>
      <c r="C141" s="29"/>
      <c r="D141" s="29"/>
      <c r="E141" s="37"/>
      <c r="F141" s="37"/>
      <c r="G141" s="37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 ht="11.25" customHeight="1">
      <c r="A142" s="29"/>
      <c r="B142" s="37"/>
      <c r="C142" s="29"/>
      <c r="D142" s="29"/>
      <c r="E142" s="37"/>
      <c r="F142" s="37"/>
      <c r="G142" s="37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 ht="11.25" customHeight="1">
      <c r="A143" s="29"/>
      <c r="B143" s="37"/>
      <c r="C143" s="29"/>
      <c r="D143" s="29"/>
      <c r="E143" s="37"/>
      <c r="F143" s="37"/>
      <c r="G143" s="37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 ht="11.25" customHeight="1">
      <c r="A144" s="29"/>
      <c r="B144" s="37"/>
      <c r="C144" s="29"/>
      <c r="D144" s="29"/>
      <c r="E144" s="37"/>
      <c r="F144" s="37"/>
      <c r="G144" s="37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 ht="11.25" customHeight="1">
      <c r="A145" s="29"/>
      <c r="B145" s="37"/>
      <c r="C145" s="29"/>
      <c r="D145" s="29"/>
      <c r="E145" s="37"/>
      <c r="F145" s="37"/>
      <c r="G145" s="37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 ht="11.25" customHeight="1">
      <c r="A146" s="29"/>
      <c r="B146" s="37"/>
      <c r="C146" s="29"/>
      <c r="D146" s="29"/>
      <c r="E146" s="37"/>
      <c r="F146" s="37"/>
      <c r="G146" s="37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 ht="11.25" customHeight="1">
      <c r="A147" s="29"/>
      <c r="B147" s="37"/>
      <c r="C147" s="29"/>
      <c r="D147" s="29"/>
      <c r="E147" s="37"/>
      <c r="F147" s="37"/>
      <c r="G147" s="37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 ht="11.25" customHeight="1">
      <c r="A148" s="29"/>
      <c r="B148" s="37"/>
      <c r="C148" s="29"/>
      <c r="D148" s="29"/>
      <c r="E148" s="37"/>
      <c r="F148" s="37"/>
      <c r="G148" s="37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 ht="11.25" customHeight="1">
      <c r="A149" s="29"/>
      <c r="B149" s="37"/>
      <c r="C149" s="29"/>
      <c r="D149" s="29"/>
      <c r="E149" s="37"/>
      <c r="F149" s="37"/>
      <c r="G149" s="37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 ht="11.25" customHeight="1">
      <c r="A150" s="29"/>
      <c r="B150" s="37"/>
      <c r="C150" s="29"/>
      <c r="D150" s="29"/>
      <c r="E150" s="37"/>
      <c r="F150" s="37"/>
      <c r="G150" s="37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 ht="11.25" customHeight="1">
      <c r="A151" s="29"/>
      <c r="B151" s="37"/>
      <c r="C151" s="29"/>
      <c r="D151" s="29"/>
      <c r="E151" s="37"/>
      <c r="F151" s="37"/>
      <c r="G151" s="37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 ht="11.25" customHeight="1">
      <c r="A152" s="29"/>
      <c r="B152" s="37"/>
      <c r="C152" s="29"/>
      <c r="D152" s="29"/>
      <c r="E152" s="37"/>
      <c r="F152" s="37"/>
      <c r="G152" s="37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 ht="11.25" customHeight="1">
      <c r="A153" s="29"/>
      <c r="B153" s="37"/>
      <c r="C153" s="29"/>
      <c r="D153" s="29"/>
      <c r="E153" s="37"/>
      <c r="F153" s="37"/>
      <c r="G153" s="37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 ht="11.25" customHeight="1">
      <c r="A154" s="29"/>
      <c r="B154" s="37"/>
      <c r="C154" s="29"/>
      <c r="D154" s="29"/>
      <c r="E154" s="37"/>
      <c r="F154" s="37"/>
      <c r="G154" s="37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 ht="11.25" customHeight="1">
      <c r="A155" s="29"/>
      <c r="B155" s="37"/>
      <c r="C155" s="29"/>
      <c r="D155" s="29"/>
      <c r="E155" s="37"/>
      <c r="F155" s="37"/>
      <c r="G155" s="37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 ht="11.25" customHeight="1">
      <c r="A156" s="29"/>
      <c r="B156" s="37"/>
      <c r="C156" s="29"/>
      <c r="D156" s="29"/>
      <c r="E156" s="37"/>
      <c r="F156" s="37"/>
      <c r="G156" s="37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 ht="11.25" customHeight="1">
      <c r="A157" s="29"/>
      <c r="B157" s="37"/>
      <c r="C157" s="29"/>
      <c r="D157" s="29"/>
      <c r="E157" s="37"/>
      <c r="F157" s="37"/>
      <c r="G157" s="37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 ht="11.25" customHeight="1">
      <c r="A158" s="29"/>
      <c r="B158" s="37"/>
      <c r="C158" s="29"/>
      <c r="D158" s="29"/>
      <c r="E158" s="37"/>
      <c r="F158" s="37"/>
      <c r="G158" s="37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 ht="11.25" customHeight="1">
      <c r="A159" s="29"/>
      <c r="B159" s="37"/>
      <c r="C159" s="29"/>
      <c r="D159" s="29"/>
      <c r="E159" s="37"/>
      <c r="F159" s="37"/>
      <c r="G159" s="37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 ht="11.25" customHeight="1">
      <c r="A160" s="29"/>
      <c r="B160" s="37"/>
      <c r="C160" s="29"/>
      <c r="D160" s="29"/>
      <c r="E160" s="37"/>
      <c r="F160" s="37"/>
      <c r="G160" s="37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 ht="11.25" customHeight="1">
      <c r="A161" s="29"/>
      <c r="B161" s="37"/>
      <c r="C161" s="29"/>
      <c r="D161" s="29"/>
      <c r="E161" s="37"/>
      <c r="F161" s="37"/>
      <c r="G161" s="37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 ht="11.25" customHeight="1">
      <c r="A162" s="29"/>
      <c r="B162" s="37"/>
      <c r="C162" s="29"/>
      <c r="D162" s="29"/>
      <c r="E162" s="37"/>
      <c r="F162" s="37"/>
      <c r="G162" s="37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 ht="11.25" customHeight="1">
      <c r="A163" s="29"/>
      <c r="B163" s="37"/>
      <c r="C163" s="29"/>
      <c r="D163" s="29"/>
      <c r="E163" s="37"/>
      <c r="F163" s="37"/>
      <c r="G163" s="37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 ht="11.25" customHeight="1">
      <c r="A164" s="29"/>
      <c r="B164" s="37"/>
      <c r="C164" s="29"/>
      <c r="D164" s="29"/>
      <c r="E164" s="37"/>
      <c r="F164" s="37"/>
      <c r="G164" s="37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 ht="11.25" customHeight="1">
      <c r="A165" s="29"/>
      <c r="B165" s="37"/>
      <c r="C165" s="29"/>
      <c r="D165" s="29"/>
      <c r="E165" s="37"/>
      <c r="F165" s="37"/>
      <c r="G165" s="37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 ht="11.25" customHeight="1">
      <c r="A166" s="29"/>
      <c r="B166" s="37"/>
      <c r="C166" s="29"/>
      <c r="D166" s="29"/>
      <c r="E166" s="37"/>
      <c r="F166" s="37"/>
      <c r="G166" s="37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 ht="11.25" customHeight="1">
      <c r="A167" s="29"/>
      <c r="B167" s="37"/>
      <c r="C167" s="29"/>
      <c r="D167" s="29"/>
      <c r="E167" s="37"/>
      <c r="F167" s="37"/>
      <c r="G167" s="37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 ht="11.25" customHeight="1">
      <c r="A168" s="29"/>
      <c r="B168" s="37"/>
      <c r="C168" s="29"/>
      <c r="D168" s="29"/>
      <c r="E168" s="37"/>
      <c r="F168" s="37"/>
      <c r="G168" s="37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 ht="11.25" customHeight="1">
      <c r="A169" s="29"/>
      <c r="B169" s="37"/>
      <c r="C169" s="29"/>
      <c r="D169" s="29"/>
      <c r="E169" s="37"/>
      <c r="F169" s="37"/>
      <c r="G169" s="37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 ht="11.25" customHeight="1">
      <c r="A170" s="29"/>
      <c r="B170" s="37"/>
      <c r="C170" s="29"/>
      <c r="D170" s="29"/>
      <c r="E170" s="37"/>
      <c r="F170" s="37"/>
      <c r="G170" s="37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 ht="11.25" customHeight="1">
      <c r="A171" s="29"/>
      <c r="B171" s="37"/>
      <c r="C171" s="29"/>
      <c r="D171" s="29"/>
      <c r="E171" s="37"/>
      <c r="F171" s="37"/>
      <c r="G171" s="37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 ht="11.25" customHeight="1">
      <c r="A172" s="29"/>
      <c r="B172" s="37"/>
      <c r="C172" s="29"/>
      <c r="D172" s="29"/>
      <c r="E172" s="37"/>
      <c r="F172" s="37"/>
      <c r="G172" s="37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 ht="11.25" customHeight="1">
      <c r="A173" s="29"/>
      <c r="B173" s="37"/>
      <c r="C173" s="29"/>
      <c r="D173" s="29"/>
      <c r="E173" s="37"/>
      <c r="F173" s="37"/>
      <c r="G173" s="37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 ht="11.25" customHeight="1">
      <c r="A174" s="29"/>
      <c r="B174" s="37"/>
      <c r="C174" s="29"/>
      <c r="D174" s="29"/>
      <c r="E174" s="37"/>
      <c r="F174" s="37"/>
      <c r="G174" s="37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 ht="11.25" customHeight="1">
      <c r="A175" s="29"/>
      <c r="B175" s="37"/>
      <c r="C175" s="29"/>
      <c r="D175" s="29"/>
      <c r="E175" s="37"/>
      <c r="F175" s="37"/>
      <c r="G175" s="37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 ht="11.25" customHeight="1">
      <c r="A176" s="29"/>
      <c r="B176" s="37"/>
      <c r="C176" s="29"/>
      <c r="D176" s="29"/>
      <c r="E176" s="37"/>
      <c r="F176" s="37"/>
      <c r="G176" s="37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 ht="11.25" customHeight="1">
      <c r="A177" s="29"/>
      <c r="B177" s="37"/>
      <c r="C177" s="29"/>
      <c r="D177" s="29"/>
      <c r="E177" s="37"/>
      <c r="F177" s="37"/>
      <c r="G177" s="37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 ht="11.25" customHeight="1">
      <c r="A178" s="29"/>
      <c r="B178" s="37"/>
      <c r="C178" s="29"/>
      <c r="D178" s="29"/>
      <c r="E178" s="37"/>
      <c r="F178" s="37"/>
      <c r="G178" s="37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 ht="11.25" customHeight="1">
      <c r="A179" s="29"/>
      <c r="B179" s="37"/>
      <c r="C179" s="29"/>
      <c r="D179" s="29"/>
      <c r="E179" s="37"/>
      <c r="F179" s="37"/>
      <c r="G179" s="37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 ht="11.25" customHeight="1">
      <c r="A180" s="29"/>
      <c r="B180" s="37"/>
      <c r="C180" s="29"/>
      <c r="D180" s="29"/>
      <c r="E180" s="37"/>
      <c r="F180" s="37"/>
      <c r="G180" s="37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 ht="11.25" customHeight="1">
      <c r="A181" s="29"/>
      <c r="B181" s="37"/>
      <c r="C181" s="29"/>
      <c r="D181" s="29"/>
      <c r="E181" s="37"/>
      <c r="F181" s="37"/>
      <c r="G181" s="37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 ht="11.25" customHeight="1">
      <c r="A182" s="29"/>
      <c r="B182" s="37"/>
      <c r="C182" s="29"/>
      <c r="D182" s="29"/>
      <c r="E182" s="37"/>
      <c r="F182" s="37"/>
      <c r="G182" s="37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 ht="11.25" customHeight="1">
      <c r="A183" s="29"/>
      <c r="B183" s="37"/>
      <c r="C183" s="29"/>
      <c r="D183" s="29"/>
      <c r="E183" s="37"/>
      <c r="F183" s="37"/>
      <c r="G183" s="37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 ht="11.25" customHeight="1">
      <c r="A184" s="29"/>
      <c r="B184" s="37"/>
      <c r="C184" s="29"/>
      <c r="D184" s="29"/>
      <c r="E184" s="37"/>
      <c r="F184" s="37"/>
      <c r="G184" s="37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 ht="11.25" customHeight="1">
      <c r="A185" s="29"/>
      <c r="B185" s="37"/>
      <c r="C185" s="29"/>
      <c r="D185" s="29"/>
      <c r="E185" s="37"/>
      <c r="F185" s="37"/>
      <c r="G185" s="37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 ht="11.25" customHeight="1">
      <c r="A186" s="29"/>
      <c r="B186" s="37"/>
      <c r="C186" s="29"/>
      <c r="D186" s="29"/>
      <c r="E186" s="37"/>
      <c r="F186" s="37"/>
      <c r="G186" s="37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 ht="11.25" customHeight="1">
      <c r="A187" s="29"/>
      <c r="B187" s="37"/>
      <c r="C187" s="29"/>
      <c r="D187" s="29"/>
      <c r="E187" s="37"/>
      <c r="F187" s="37"/>
      <c r="G187" s="37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 ht="11.25" customHeight="1">
      <c r="A188" s="29"/>
      <c r="B188" s="37"/>
      <c r="C188" s="29"/>
      <c r="D188" s="29"/>
      <c r="E188" s="37"/>
      <c r="F188" s="37"/>
      <c r="G188" s="37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 ht="11.25" customHeight="1">
      <c r="A189" s="29"/>
      <c r="B189" s="37"/>
      <c r="C189" s="29"/>
      <c r="D189" s="29"/>
      <c r="E189" s="37"/>
      <c r="F189" s="37"/>
      <c r="G189" s="37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 ht="11.25" customHeight="1">
      <c r="A190" s="29"/>
      <c r="B190" s="37"/>
      <c r="C190" s="29"/>
      <c r="D190" s="29"/>
      <c r="E190" s="37"/>
      <c r="F190" s="37"/>
      <c r="G190" s="37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 ht="11.25" customHeight="1">
      <c r="A191" s="29"/>
      <c r="B191" s="37"/>
      <c r="C191" s="29"/>
      <c r="D191" s="29"/>
      <c r="E191" s="37"/>
      <c r="F191" s="37"/>
      <c r="G191" s="37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 ht="11.25" customHeight="1">
      <c r="A192" s="29"/>
      <c r="B192" s="37"/>
      <c r="C192" s="29"/>
      <c r="D192" s="29"/>
      <c r="E192" s="37"/>
      <c r="F192" s="37"/>
      <c r="G192" s="37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 ht="11.25" customHeight="1">
      <c r="A193" s="29"/>
      <c r="B193" s="37"/>
      <c r="C193" s="29"/>
      <c r="D193" s="29"/>
      <c r="E193" s="37"/>
      <c r="F193" s="37"/>
      <c r="G193" s="37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 ht="11.25" customHeight="1">
      <c r="A194" s="29"/>
      <c r="B194" s="37"/>
      <c r="C194" s="29"/>
      <c r="D194" s="29"/>
      <c r="E194" s="37"/>
      <c r="F194" s="37"/>
      <c r="G194" s="37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 ht="11.25" customHeight="1">
      <c r="A195" s="29"/>
      <c r="B195" s="37"/>
      <c r="C195" s="29"/>
      <c r="D195" s="29"/>
      <c r="E195" s="37"/>
      <c r="F195" s="37"/>
      <c r="G195" s="37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 ht="11.25" customHeight="1">
      <c r="A196" s="29"/>
      <c r="B196" s="37"/>
      <c r="C196" s="29"/>
      <c r="D196" s="29"/>
      <c r="E196" s="37"/>
      <c r="F196" s="37"/>
      <c r="G196" s="37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 ht="11.25" customHeight="1">
      <c r="A197" s="29"/>
      <c r="B197" s="37"/>
      <c r="C197" s="29"/>
      <c r="D197" s="29"/>
      <c r="E197" s="37"/>
      <c r="F197" s="37"/>
      <c r="G197" s="37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 ht="11.25" customHeight="1">
      <c r="A198" s="29"/>
      <c r="B198" s="37"/>
      <c r="C198" s="29"/>
      <c r="D198" s="29"/>
      <c r="E198" s="37"/>
      <c r="F198" s="37"/>
      <c r="G198" s="37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 ht="11.25" customHeight="1">
      <c r="A199" s="29"/>
      <c r="B199" s="37"/>
      <c r="C199" s="29"/>
      <c r="D199" s="29"/>
      <c r="E199" s="37"/>
      <c r="F199" s="37"/>
      <c r="G199" s="37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 ht="11.25" customHeight="1">
      <c r="A200" s="29"/>
      <c r="B200" s="37"/>
      <c r="C200" s="29"/>
      <c r="D200" s="29"/>
      <c r="E200" s="37"/>
      <c r="F200" s="37"/>
      <c r="G200" s="37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 ht="11.25" customHeight="1">
      <c r="A201" s="29"/>
      <c r="B201" s="37"/>
      <c r="C201" s="29"/>
      <c r="D201" s="29"/>
      <c r="E201" s="37"/>
      <c r="F201" s="37"/>
      <c r="G201" s="37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 ht="11.25" customHeight="1">
      <c r="A202" s="29"/>
      <c r="B202" s="37"/>
      <c r="C202" s="29"/>
      <c r="D202" s="29"/>
      <c r="E202" s="37"/>
      <c r="F202" s="37"/>
      <c r="G202" s="37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 ht="11.25" customHeight="1">
      <c r="A203" s="29"/>
      <c r="B203" s="37"/>
      <c r="C203" s="29"/>
      <c r="D203" s="29"/>
      <c r="E203" s="37"/>
      <c r="F203" s="37"/>
      <c r="G203" s="37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 ht="11.25" customHeight="1">
      <c r="A204" s="29"/>
      <c r="B204" s="37"/>
      <c r="C204" s="29"/>
      <c r="D204" s="29"/>
      <c r="E204" s="37"/>
      <c r="F204" s="37"/>
      <c r="G204" s="37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 ht="11.25" customHeight="1">
      <c r="A205" s="29"/>
      <c r="B205" s="37"/>
      <c r="C205" s="29"/>
      <c r="D205" s="29"/>
      <c r="E205" s="37"/>
      <c r="F205" s="37"/>
      <c r="G205" s="37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 ht="11.25" customHeight="1">
      <c r="A206" s="29"/>
      <c r="B206" s="37"/>
      <c r="C206" s="29"/>
      <c r="D206" s="29"/>
      <c r="E206" s="37"/>
      <c r="F206" s="37"/>
      <c r="G206" s="37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 ht="11.25" customHeight="1">
      <c r="A207" s="29"/>
      <c r="B207" s="37"/>
      <c r="C207" s="29"/>
      <c r="D207" s="29"/>
      <c r="E207" s="37"/>
      <c r="F207" s="37"/>
      <c r="G207" s="37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 ht="11.25" customHeight="1">
      <c r="A208" s="29"/>
      <c r="B208" s="37"/>
      <c r="C208" s="29"/>
      <c r="D208" s="29"/>
      <c r="E208" s="37"/>
      <c r="F208" s="37"/>
      <c r="G208" s="37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 ht="11.25" customHeight="1">
      <c r="A209" s="29"/>
      <c r="B209" s="37"/>
      <c r="C209" s="29"/>
      <c r="D209" s="29"/>
      <c r="E209" s="37"/>
      <c r="F209" s="37"/>
      <c r="G209" s="37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 ht="11.25" customHeight="1">
      <c r="A210" s="29"/>
      <c r="B210" s="37"/>
      <c r="C210" s="29"/>
      <c r="D210" s="29"/>
      <c r="E210" s="37"/>
      <c r="F210" s="37"/>
      <c r="G210" s="37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 ht="11.25" customHeight="1">
      <c r="A211" s="29"/>
      <c r="B211" s="37"/>
      <c r="C211" s="29"/>
      <c r="D211" s="29"/>
      <c r="E211" s="37"/>
      <c r="F211" s="37"/>
      <c r="G211" s="37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 ht="11.25" customHeight="1">
      <c r="A212" s="29"/>
      <c r="B212" s="37"/>
      <c r="C212" s="29"/>
      <c r="D212" s="29"/>
      <c r="E212" s="37"/>
      <c r="F212" s="37"/>
      <c r="G212" s="37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 ht="11.25" customHeight="1">
      <c r="A213" s="29"/>
      <c r="B213" s="37"/>
      <c r="C213" s="29"/>
      <c r="D213" s="29"/>
      <c r="E213" s="37"/>
      <c r="F213" s="37"/>
      <c r="G213" s="37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 ht="11.25" customHeight="1">
      <c r="A214" s="29"/>
      <c r="B214" s="37"/>
      <c r="C214" s="29"/>
      <c r="D214" s="29"/>
      <c r="E214" s="37"/>
      <c r="F214" s="37"/>
      <c r="G214" s="37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 ht="11.25" customHeight="1">
      <c r="A215" s="29"/>
      <c r="B215" s="37"/>
      <c r="C215" s="29"/>
      <c r="D215" s="29"/>
      <c r="E215" s="37"/>
      <c r="F215" s="37"/>
      <c r="G215" s="37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 ht="11.25" customHeight="1">
      <c r="A216" s="29"/>
      <c r="B216" s="37"/>
      <c r="C216" s="29"/>
      <c r="D216" s="29"/>
      <c r="E216" s="37"/>
      <c r="F216" s="37"/>
      <c r="G216" s="37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 ht="11.25" customHeight="1">
      <c r="A217" s="29"/>
      <c r="B217" s="37"/>
      <c r="C217" s="29"/>
      <c r="D217" s="29"/>
      <c r="E217" s="37"/>
      <c r="F217" s="37"/>
      <c r="G217" s="37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 ht="11.25" customHeight="1">
      <c r="A218" s="29"/>
      <c r="B218" s="37"/>
      <c r="C218" s="29"/>
      <c r="D218" s="29"/>
      <c r="E218" s="37"/>
      <c r="F218" s="37"/>
      <c r="G218" s="37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 ht="11.25" customHeight="1">
      <c r="A219" s="29"/>
      <c r="B219" s="37"/>
      <c r="C219" s="29"/>
      <c r="D219" s="29"/>
      <c r="E219" s="37"/>
      <c r="F219" s="37"/>
      <c r="G219" s="37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 ht="11.25" customHeight="1">
      <c r="A220" s="29"/>
      <c r="B220" s="37"/>
      <c r="C220" s="29"/>
      <c r="D220" s="29"/>
      <c r="E220" s="37"/>
      <c r="F220" s="37"/>
      <c r="G220" s="37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 ht="11.25" customHeight="1">
      <c r="A221" s="29"/>
      <c r="B221" s="37"/>
      <c r="C221" s="29"/>
      <c r="D221" s="29"/>
      <c r="E221" s="37"/>
      <c r="F221" s="37"/>
      <c r="G221" s="37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 ht="11.25" customHeight="1">
      <c r="A222" s="29"/>
      <c r="B222" s="37"/>
      <c r="C222" s="29"/>
      <c r="D222" s="29"/>
      <c r="E222" s="37"/>
      <c r="F222" s="37"/>
      <c r="G222" s="37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 ht="11.25" customHeight="1">
      <c r="A223" s="29"/>
      <c r="B223" s="37"/>
      <c r="C223" s="29"/>
      <c r="D223" s="29"/>
      <c r="E223" s="37"/>
      <c r="F223" s="37"/>
      <c r="G223" s="37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 ht="11.25" customHeight="1">
      <c r="A224" s="29"/>
      <c r="B224" s="37"/>
      <c r="C224" s="29"/>
      <c r="D224" s="29"/>
      <c r="E224" s="37"/>
      <c r="F224" s="37"/>
      <c r="G224" s="37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 ht="11.25" customHeight="1">
      <c r="A225" s="29"/>
      <c r="B225" s="37"/>
      <c r="C225" s="29"/>
      <c r="D225" s="29"/>
      <c r="E225" s="37"/>
      <c r="F225" s="37"/>
      <c r="G225" s="37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 ht="11.25" customHeight="1">
      <c r="A226" s="29"/>
      <c r="B226" s="37"/>
      <c r="C226" s="29"/>
      <c r="D226" s="29"/>
      <c r="E226" s="37"/>
      <c r="F226" s="37"/>
      <c r="G226" s="37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 ht="11.25" customHeight="1">
      <c r="A227" s="29"/>
      <c r="B227" s="37"/>
      <c r="C227" s="29"/>
      <c r="D227" s="29"/>
      <c r="E227" s="37"/>
      <c r="F227" s="37"/>
      <c r="G227" s="37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 ht="11.25" customHeight="1">
      <c r="A228" s="29"/>
      <c r="B228" s="37"/>
      <c r="C228" s="29"/>
      <c r="D228" s="29"/>
      <c r="E228" s="37"/>
      <c r="F228" s="37"/>
      <c r="G228" s="37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 ht="11.25" customHeight="1">
      <c r="A229" s="29"/>
      <c r="B229" s="37"/>
      <c r="C229" s="29"/>
      <c r="D229" s="29"/>
      <c r="E229" s="37"/>
      <c r="F229" s="37"/>
      <c r="G229" s="37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 ht="11.25" customHeight="1">
      <c r="A230" s="29"/>
      <c r="B230" s="37"/>
      <c r="C230" s="29"/>
      <c r="D230" s="29"/>
      <c r="E230" s="37"/>
      <c r="F230" s="37"/>
      <c r="G230" s="37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 ht="11.25" customHeight="1">
      <c r="A231" s="29"/>
      <c r="B231" s="37"/>
      <c r="C231" s="29"/>
      <c r="D231" s="29"/>
      <c r="E231" s="37"/>
      <c r="F231" s="37"/>
      <c r="G231" s="37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 ht="11.25" customHeight="1">
      <c r="A232" s="29"/>
      <c r="B232" s="37"/>
      <c r="C232" s="29"/>
      <c r="D232" s="29"/>
      <c r="E232" s="37"/>
      <c r="F232" s="37"/>
      <c r="G232" s="37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 ht="11.25" customHeight="1">
      <c r="A233" s="29"/>
      <c r="B233" s="37"/>
      <c r="C233" s="29"/>
      <c r="D233" s="29"/>
      <c r="E233" s="37"/>
      <c r="F233" s="37"/>
      <c r="G233" s="37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 ht="11.25" customHeight="1">
      <c r="A234" s="29"/>
      <c r="B234" s="37"/>
      <c r="C234" s="29"/>
      <c r="D234" s="29"/>
      <c r="E234" s="37"/>
      <c r="F234" s="37"/>
      <c r="G234" s="37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 ht="11.25" customHeight="1">
      <c r="A235" s="29"/>
      <c r="B235" s="37"/>
      <c r="C235" s="29"/>
      <c r="D235" s="29"/>
      <c r="E235" s="37"/>
      <c r="F235" s="37"/>
      <c r="G235" s="37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 ht="11.25" customHeight="1">
      <c r="A236" s="29"/>
      <c r="B236" s="37"/>
      <c r="C236" s="29"/>
      <c r="D236" s="29"/>
      <c r="E236" s="37"/>
      <c r="F236" s="37"/>
      <c r="G236" s="37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 ht="11.25" customHeight="1">
      <c r="A237" s="29"/>
      <c r="B237" s="37"/>
      <c r="C237" s="29"/>
      <c r="D237" s="29"/>
      <c r="E237" s="37"/>
      <c r="F237" s="37"/>
      <c r="G237" s="37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 ht="11.25" customHeight="1">
      <c r="A238" s="29"/>
      <c r="B238" s="37"/>
      <c r="C238" s="29"/>
      <c r="D238" s="29"/>
      <c r="E238" s="37"/>
      <c r="F238" s="37"/>
      <c r="G238" s="37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 ht="11.25" customHeight="1">
      <c r="A239" s="29"/>
      <c r="B239" s="37"/>
      <c r="C239" s="29"/>
      <c r="D239" s="29"/>
      <c r="E239" s="37"/>
      <c r="F239" s="37"/>
      <c r="G239" s="37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 ht="11.25" customHeight="1">
      <c r="A240" s="29"/>
      <c r="B240" s="37"/>
      <c r="C240" s="29"/>
      <c r="D240" s="29"/>
      <c r="E240" s="37"/>
      <c r="F240" s="37"/>
      <c r="G240" s="37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 ht="11.25" customHeight="1">
      <c r="A241" s="29"/>
      <c r="B241" s="37"/>
      <c r="C241" s="29"/>
      <c r="D241" s="29"/>
      <c r="E241" s="37"/>
      <c r="F241" s="37"/>
      <c r="G241" s="37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 ht="11.25" customHeight="1">
      <c r="A242" s="29"/>
      <c r="B242" s="37"/>
      <c r="C242" s="29"/>
      <c r="D242" s="29"/>
      <c r="E242" s="37"/>
      <c r="F242" s="37"/>
      <c r="G242" s="37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 ht="11.25" customHeight="1">
      <c r="A243" s="29"/>
      <c r="B243" s="37"/>
      <c r="C243" s="29"/>
      <c r="D243" s="29"/>
      <c r="E243" s="37"/>
      <c r="F243" s="37"/>
      <c r="G243" s="37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 ht="11.25" customHeight="1">
      <c r="A244" s="29"/>
      <c r="B244" s="37"/>
      <c r="C244" s="29"/>
      <c r="D244" s="29"/>
      <c r="E244" s="37"/>
      <c r="F244" s="37"/>
      <c r="G244" s="37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 ht="11.25" customHeight="1">
      <c r="A245" s="29"/>
      <c r="B245" s="37"/>
      <c r="C245" s="29"/>
      <c r="D245" s="29"/>
      <c r="E245" s="37"/>
      <c r="F245" s="37"/>
      <c r="G245" s="37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 ht="11.25" customHeight="1">
      <c r="A246" s="29"/>
      <c r="B246" s="37"/>
      <c r="C246" s="29"/>
      <c r="D246" s="29"/>
      <c r="E246" s="37"/>
      <c r="F246" s="37"/>
      <c r="G246" s="37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 ht="11.25" customHeight="1">
      <c r="A247" s="29"/>
      <c r="B247" s="37"/>
      <c r="C247" s="29"/>
      <c r="D247" s="29"/>
      <c r="E247" s="37"/>
      <c r="F247" s="37"/>
      <c r="G247" s="37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 ht="11.25" customHeight="1">
      <c r="A248" s="29"/>
      <c r="B248" s="37"/>
      <c r="C248" s="29"/>
      <c r="D248" s="29"/>
      <c r="E248" s="37"/>
      <c r="F248" s="37"/>
      <c r="G248" s="37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 ht="11.25" customHeight="1">
      <c r="A249" s="29"/>
      <c r="B249" s="37"/>
      <c r="C249" s="29"/>
      <c r="D249" s="29"/>
      <c r="E249" s="37"/>
      <c r="F249" s="37"/>
      <c r="G249" s="37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 ht="11.25" customHeight="1">
      <c r="A250" s="29"/>
      <c r="B250" s="37"/>
      <c r="C250" s="29"/>
      <c r="D250" s="29"/>
      <c r="E250" s="37"/>
      <c r="F250" s="37"/>
      <c r="G250" s="37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 ht="11.25" customHeight="1">
      <c r="A251" s="29"/>
      <c r="B251" s="37"/>
      <c r="C251" s="29"/>
      <c r="D251" s="29"/>
      <c r="E251" s="37"/>
      <c r="F251" s="37"/>
      <c r="G251" s="37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 ht="11.25" customHeight="1">
      <c r="A252" s="29"/>
      <c r="B252" s="37"/>
      <c r="C252" s="29"/>
      <c r="D252" s="29"/>
      <c r="E252" s="37"/>
      <c r="F252" s="37"/>
      <c r="G252" s="37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 ht="11.25" customHeight="1">
      <c r="A253" s="29"/>
      <c r="B253" s="37"/>
      <c r="C253" s="29"/>
      <c r="D253" s="29"/>
      <c r="E253" s="37"/>
      <c r="F253" s="37"/>
      <c r="G253" s="37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 ht="11.25" customHeight="1">
      <c r="A254" s="29"/>
      <c r="B254" s="37"/>
      <c r="C254" s="29"/>
      <c r="D254" s="29"/>
      <c r="E254" s="37"/>
      <c r="F254" s="37"/>
      <c r="G254" s="37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 ht="11.25" customHeight="1">
      <c r="A255" s="29"/>
      <c r="B255" s="37"/>
      <c r="C255" s="29"/>
      <c r="D255" s="29"/>
      <c r="E255" s="37"/>
      <c r="F255" s="37"/>
      <c r="G255" s="37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 ht="11.25" customHeight="1">
      <c r="A256" s="29"/>
      <c r="B256" s="37"/>
      <c r="C256" s="29"/>
      <c r="D256" s="29"/>
      <c r="E256" s="37"/>
      <c r="F256" s="37"/>
      <c r="G256" s="37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 ht="11.25" customHeight="1">
      <c r="A257" s="29"/>
      <c r="B257" s="37"/>
      <c r="C257" s="29"/>
      <c r="D257" s="29"/>
      <c r="E257" s="37"/>
      <c r="F257" s="37"/>
      <c r="G257" s="37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 ht="11.25" customHeight="1">
      <c r="A258" s="29"/>
      <c r="B258" s="37"/>
      <c r="C258" s="29"/>
      <c r="D258" s="29"/>
      <c r="E258" s="37"/>
      <c r="F258" s="37"/>
      <c r="G258" s="37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 ht="11.25" customHeight="1">
      <c r="A259" s="29"/>
      <c r="B259" s="37"/>
      <c r="C259" s="29"/>
      <c r="D259" s="29"/>
      <c r="E259" s="37"/>
      <c r="F259" s="37"/>
      <c r="G259" s="37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 ht="11.25" customHeight="1">
      <c r="A260" s="29"/>
      <c r="B260" s="37"/>
      <c r="C260" s="29"/>
      <c r="D260" s="29"/>
      <c r="E260" s="37"/>
      <c r="F260" s="37"/>
      <c r="G260" s="37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 ht="11.25" customHeight="1">
      <c r="A261" s="29"/>
      <c r="B261" s="37"/>
      <c r="C261" s="29"/>
      <c r="D261" s="29"/>
      <c r="E261" s="37"/>
      <c r="F261" s="37"/>
      <c r="G261" s="37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 ht="11.25" customHeight="1">
      <c r="A262" s="29"/>
      <c r="B262" s="37"/>
      <c r="C262" s="29"/>
      <c r="D262" s="29"/>
      <c r="E262" s="37"/>
      <c r="F262" s="37"/>
      <c r="G262" s="37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 ht="11.25" customHeight="1">
      <c r="A263" s="29"/>
      <c r="B263" s="37"/>
      <c r="C263" s="29"/>
      <c r="D263" s="29"/>
      <c r="E263" s="37"/>
      <c r="F263" s="37"/>
      <c r="G263" s="37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 ht="11.25" customHeight="1">
      <c r="A264" s="29"/>
      <c r="B264" s="37"/>
      <c r="C264" s="29"/>
      <c r="D264" s="29"/>
      <c r="E264" s="37"/>
      <c r="F264" s="37"/>
      <c r="G264" s="37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 ht="11.25" customHeight="1">
      <c r="A265" s="29"/>
      <c r="B265" s="37"/>
      <c r="C265" s="29"/>
      <c r="D265" s="29"/>
      <c r="E265" s="37"/>
      <c r="F265" s="37"/>
      <c r="G265" s="37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 ht="11.25" customHeight="1">
      <c r="A266" s="29"/>
      <c r="B266" s="37"/>
      <c r="C266" s="29"/>
      <c r="D266" s="29"/>
      <c r="E266" s="37"/>
      <c r="F266" s="37"/>
      <c r="G266" s="37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 ht="11.25" customHeight="1">
      <c r="A267" s="29"/>
      <c r="B267" s="37"/>
      <c r="C267" s="29"/>
      <c r="D267" s="29"/>
      <c r="E267" s="37"/>
      <c r="F267" s="37"/>
      <c r="G267" s="37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 ht="11.25" customHeight="1">
      <c r="A268" s="29"/>
      <c r="B268" s="37"/>
      <c r="C268" s="29"/>
      <c r="D268" s="29"/>
      <c r="E268" s="37"/>
      <c r="F268" s="37"/>
      <c r="G268" s="37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 ht="11.25" customHeight="1">
      <c r="A269" s="29"/>
      <c r="B269" s="37"/>
      <c r="C269" s="29"/>
      <c r="D269" s="29"/>
      <c r="E269" s="37"/>
      <c r="F269" s="37"/>
      <c r="G269" s="37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 ht="11.25" customHeight="1">
      <c r="A270" s="29"/>
      <c r="B270" s="37"/>
      <c r="C270" s="29"/>
      <c r="D270" s="29"/>
      <c r="E270" s="37"/>
      <c r="F270" s="37"/>
      <c r="G270" s="37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 ht="11.25" customHeight="1">
      <c r="A271" s="29"/>
      <c r="B271" s="37"/>
      <c r="C271" s="29"/>
      <c r="D271" s="29"/>
      <c r="E271" s="37"/>
      <c r="F271" s="37"/>
      <c r="G271" s="37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 ht="11.25" customHeight="1">
      <c r="A272" s="29"/>
      <c r="B272" s="37"/>
      <c r="C272" s="29"/>
      <c r="D272" s="29"/>
      <c r="E272" s="37"/>
      <c r="F272" s="37"/>
      <c r="G272" s="37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 ht="11.25" customHeight="1">
      <c r="A273" s="29"/>
      <c r="B273" s="37"/>
      <c r="C273" s="29"/>
      <c r="D273" s="29"/>
      <c r="E273" s="37"/>
      <c r="F273" s="37"/>
      <c r="G273" s="37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 ht="11.25" customHeight="1">
      <c r="A274" s="29"/>
      <c r="B274" s="37"/>
      <c r="C274" s="29"/>
      <c r="D274" s="29"/>
      <c r="E274" s="37"/>
      <c r="F274" s="37"/>
      <c r="G274" s="37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 ht="11.25" customHeight="1">
      <c r="A275" s="29"/>
      <c r="B275" s="37"/>
      <c r="C275" s="29"/>
      <c r="D275" s="29"/>
      <c r="E275" s="37"/>
      <c r="F275" s="37"/>
      <c r="G275" s="37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 ht="11.25" customHeight="1">
      <c r="A276" s="29"/>
      <c r="B276" s="37"/>
      <c r="C276" s="29"/>
      <c r="D276" s="29"/>
      <c r="E276" s="37"/>
      <c r="F276" s="37"/>
      <c r="G276" s="37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 ht="11.25" customHeight="1">
      <c r="A277" s="29"/>
      <c r="B277" s="37"/>
      <c r="C277" s="29"/>
      <c r="D277" s="29"/>
      <c r="E277" s="37"/>
      <c r="F277" s="37"/>
      <c r="G277" s="37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 ht="11.25" customHeight="1">
      <c r="A278" s="29"/>
      <c r="B278" s="37"/>
      <c r="C278" s="29"/>
      <c r="D278" s="29"/>
      <c r="E278" s="37"/>
      <c r="F278" s="37"/>
      <c r="G278" s="37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 ht="11.25" customHeight="1">
      <c r="A279" s="29"/>
      <c r="B279" s="37"/>
      <c r="C279" s="29"/>
      <c r="D279" s="29"/>
      <c r="E279" s="37"/>
      <c r="F279" s="37"/>
      <c r="G279" s="37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 ht="11.25" customHeight="1">
      <c r="A280" s="29"/>
      <c r="B280" s="37"/>
      <c r="C280" s="29"/>
      <c r="D280" s="29"/>
      <c r="E280" s="37"/>
      <c r="F280" s="37"/>
      <c r="G280" s="37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 ht="11.25" customHeight="1">
      <c r="A281" s="29"/>
      <c r="B281" s="37"/>
      <c r="C281" s="29"/>
      <c r="D281" s="29"/>
      <c r="E281" s="37"/>
      <c r="F281" s="37"/>
      <c r="G281" s="37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 ht="11.25" customHeight="1">
      <c r="A282" s="29"/>
      <c r="B282" s="37"/>
      <c r="C282" s="29"/>
      <c r="D282" s="29"/>
      <c r="E282" s="37"/>
      <c r="F282" s="37"/>
      <c r="G282" s="37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 ht="11.25" customHeight="1">
      <c r="A283" s="29"/>
      <c r="B283" s="37"/>
      <c r="C283" s="29"/>
      <c r="D283" s="29"/>
      <c r="E283" s="37"/>
      <c r="F283" s="37"/>
      <c r="G283" s="37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 ht="11.25" customHeight="1">
      <c r="A284" s="29"/>
      <c r="B284" s="37"/>
      <c r="C284" s="29"/>
      <c r="D284" s="29"/>
      <c r="E284" s="37"/>
      <c r="F284" s="37"/>
      <c r="G284" s="37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 ht="11.25" customHeight="1">
      <c r="A285" s="29"/>
      <c r="B285" s="37"/>
      <c r="C285" s="29"/>
      <c r="D285" s="29"/>
      <c r="E285" s="37"/>
      <c r="F285" s="37"/>
      <c r="G285" s="37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 ht="11.25" customHeight="1">
      <c r="A286" s="29"/>
      <c r="B286" s="37"/>
      <c r="C286" s="29"/>
      <c r="D286" s="29"/>
      <c r="E286" s="37"/>
      <c r="F286" s="37"/>
      <c r="G286" s="37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 ht="11.25" customHeight="1">
      <c r="A287" s="29"/>
      <c r="B287" s="37"/>
      <c r="C287" s="29"/>
      <c r="D287" s="29"/>
      <c r="E287" s="37"/>
      <c r="F287" s="37"/>
      <c r="G287" s="37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 ht="11.25" customHeight="1">
      <c r="A288" s="29"/>
      <c r="B288" s="37"/>
      <c r="C288" s="29"/>
      <c r="D288" s="29"/>
      <c r="E288" s="37"/>
      <c r="F288" s="37"/>
      <c r="G288" s="37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 ht="11.25" customHeight="1">
      <c r="A289" s="29"/>
      <c r="B289" s="37"/>
      <c r="C289" s="29"/>
      <c r="D289" s="29"/>
      <c r="E289" s="37"/>
      <c r="F289" s="37"/>
      <c r="G289" s="37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 ht="11.25" customHeight="1">
      <c r="A290" s="29"/>
      <c r="B290" s="37"/>
      <c r="C290" s="29"/>
      <c r="D290" s="29"/>
      <c r="E290" s="37"/>
      <c r="F290" s="37"/>
      <c r="G290" s="37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 ht="11.25" customHeight="1">
      <c r="A291" s="29"/>
      <c r="B291" s="37"/>
      <c r="C291" s="29"/>
      <c r="D291" s="29"/>
      <c r="E291" s="37"/>
      <c r="F291" s="37"/>
      <c r="G291" s="37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 ht="11.25" customHeight="1">
      <c r="A292" s="29"/>
      <c r="B292" s="37"/>
      <c r="C292" s="29"/>
      <c r="D292" s="29"/>
      <c r="E292" s="37"/>
      <c r="F292" s="37"/>
      <c r="G292" s="37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 ht="11.25" customHeight="1">
      <c r="A293" s="29"/>
      <c r="B293" s="37"/>
      <c r="C293" s="29"/>
      <c r="D293" s="29"/>
      <c r="E293" s="37"/>
      <c r="F293" s="37"/>
      <c r="G293" s="37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 ht="11.25" customHeight="1">
      <c r="A294" s="29"/>
      <c r="B294" s="37"/>
      <c r="C294" s="29"/>
      <c r="D294" s="29"/>
      <c r="E294" s="37"/>
      <c r="F294" s="37"/>
      <c r="G294" s="37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 ht="11.25" customHeight="1">
      <c r="A295" s="29"/>
      <c r="B295" s="37"/>
      <c r="C295" s="29"/>
      <c r="D295" s="29"/>
      <c r="E295" s="37"/>
      <c r="F295" s="37"/>
      <c r="G295" s="37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 ht="11.25" customHeight="1">
      <c r="A296" s="29"/>
      <c r="B296" s="37"/>
      <c r="C296" s="29"/>
      <c r="D296" s="29"/>
      <c r="E296" s="37"/>
      <c r="F296" s="37"/>
      <c r="G296" s="37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 ht="11.25" customHeight="1">
      <c r="A297" s="29"/>
      <c r="B297" s="37"/>
      <c r="C297" s="29"/>
      <c r="D297" s="29"/>
      <c r="E297" s="37"/>
      <c r="F297" s="37"/>
      <c r="G297" s="37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 ht="11.25" customHeight="1">
      <c r="A298" s="29"/>
      <c r="B298" s="37"/>
      <c r="C298" s="29"/>
      <c r="D298" s="29"/>
      <c r="E298" s="37"/>
      <c r="F298" s="37"/>
      <c r="G298" s="37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 ht="11.25" customHeight="1">
      <c r="A299" s="29"/>
      <c r="B299" s="37"/>
      <c r="C299" s="29"/>
      <c r="D299" s="29"/>
      <c r="E299" s="37"/>
      <c r="F299" s="37"/>
      <c r="G299" s="37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 ht="11.25" customHeight="1">
      <c r="A300" s="29"/>
      <c r="B300" s="37"/>
      <c r="C300" s="29"/>
      <c r="D300" s="29"/>
      <c r="E300" s="37"/>
      <c r="F300" s="37"/>
      <c r="G300" s="37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 ht="11.25" customHeight="1">
      <c r="A301" s="29"/>
      <c r="B301" s="37"/>
      <c r="C301" s="29"/>
      <c r="D301" s="29"/>
      <c r="E301" s="37"/>
      <c r="F301" s="37"/>
      <c r="G301" s="37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 ht="11.25" customHeight="1">
      <c r="A302" s="29"/>
      <c r="B302" s="37"/>
      <c r="C302" s="29"/>
      <c r="D302" s="29"/>
      <c r="E302" s="37"/>
      <c r="F302" s="37"/>
      <c r="G302" s="37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 ht="11.25" customHeight="1">
      <c r="A303" s="29"/>
      <c r="B303" s="37"/>
      <c r="C303" s="29"/>
      <c r="D303" s="29"/>
      <c r="E303" s="37"/>
      <c r="F303" s="37"/>
      <c r="G303" s="37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 ht="11.25" customHeight="1">
      <c r="A304" s="29"/>
      <c r="B304" s="37"/>
      <c r="C304" s="29"/>
      <c r="D304" s="29"/>
      <c r="E304" s="37"/>
      <c r="F304" s="37"/>
      <c r="G304" s="37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 ht="11.25" customHeight="1">
      <c r="A305" s="29"/>
      <c r="B305" s="37"/>
      <c r="C305" s="29"/>
      <c r="D305" s="29"/>
      <c r="E305" s="37"/>
      <c r="F305" s="37"/>
      <c r="G305" s="37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 ht="11.25" customHeight="1">
      <c r="A306" s="29"/>
      <c r="B306" s="37"/>
      <c r="C306" s="29"/>
      <c r="D306" s="29"/>
      <c r="E306" s="37"/>
      <c r="F306" s="37"/>
      <c r="G306" s="37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 ht="11.25" customHeight="1">
      <c r="A307" s="29"/>
      <c r="B307" s="37"/>
      <c r="C307" s="29"/>
      <c r="D307" s="29"/>
      <c r="E307" s="37"/>
      <c r="F307" s="37"/>
      <c r="G307" s="37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 ht="11.25" customHeight="1">
      <c r="A308" s="29"/>
      <c r="B308" s="37"/>
      <c r="C308" s="29"/>
      <c r="D308" s="29"/>
      <c r="E308" s="37"/>
      <c r="F308" s="37"/>
      <c r="G308" s="37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 ht="11.25" customHeight="1">
      <c r="A309" s="29"/>
      <c r="B309" s="37"/>
      <c r="C309" s="29"/>
      <c r="D309" s="29"/>
      <c r="E309" s="37"/>
      <c r="F309" s="37"/>
      <c r="G309" s="37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 ht="11.25" customHeight="1">
      <c r="A310" s="29"/>
      <c r="B310" s="37"/>
      <c r="C310" s="29"/>
      <c r="D310" s="29"/>
      <c r="E310" s="37"/>
      <c r="F310" s="37"/>
      <c r="G310" s="37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 ht="11.25" customHeight="1">
      <c r="A311" s="29"/>
      <c r="B311" s="37"/>
      <c r="C311" s="29"/>
      <c r="D311" s="29"/>
      <c r="E311" s="37"/>
      <c r="F311" s="37"/>
      <c r="G311" s="37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 ht="11.25" customHeight="1">
      <c r="A312" s="29"/>
      <c r="B312" s="37"/>
      <c r="C312" s="29"/>
      <c r="D312" s="29"/>
      <c r="E312" s="37"/>
      <c r="F312" s="37"/>
      <c r="G312" s="37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 ht="11.25" customHeight="1">
      <c r="A313" s="29"/>
      <c r="B313" s="37"/>
      <c r="C313" s="29"/>
      <c r="D313" s="29"/>
      <c r="E313" s="37"/>
      <c r="F313" s="37"/>
      <c r="G313" s="37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 ht="11.25" customHeight="1">
      <c r="A314" s="29"/>
      <c r="B314" s="37"/>
      <c r="C314" s="29"/>
      <c r="D314" s="29"/>
      <c r="E314" s="37"/>
      <c r="F314" s="37"/>
      <c r="G314" s="37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 ht="11.25" customHeight="1">
      <c r="A315" s="29"/>
      <c r="B315" s="37"/>
      <c r="C315" s="29"/>
      <c r="D315" s="29"/>
      <c r="E315" s="37"/>
      <c r="F315" s="37"/>
      <c r="G315" s="37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 ht="11.25" customHeight="1">
      <c r="A316" s="29"/>
      <c r="B316" s="37"/>
      <c r="C316" s="29"/>
      <c r="D316" s="29"/>
      <c r="E316" s="37"/>
      <c r="F316" s="37"/>
      <c r="G316" s="37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 ht="11.25" customHeight="1">
      <c r="A317" s="29"/>
      <c r="B317" s="37"/>
      <c r="C317" s="29"/>
      <c r="D317" s="29"/>
      <c r="E317" s="37"/>
      <c r="F317" s="37"/>
      <c r="G317" s="37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 ht="11.25" customHeight="1">
      <c r="A318" s="29"/>
      <c r="B318" s="37"/>
      <c r="C318" s="29"/>
      <c r="D318" s="29"/>
      <c r="E318" s="37"/>
      <c r="F318" s="37"/>
      <c r="G318" s="37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 ht="11.25" customHeight="1">
      <c r="A319" s="29"/>
      <c r="B319" s="37"/>
      <c r="C319" s="29"/>
      <c r="D319" s="29"/>
      <c r="E319" s="37"/>
      <c r="F319" s="37"/>
      <c r="G319" s="37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 ht="11.25" customHeight="1">
      <c r="A320" s="29"/>
      <c r="B320" s="37"/>
      <c r="C320" s="29"/>
      <c r="D320" s="29"/>
      <c r="E320" s="37"/>
      <c r="F320" s="37"/>
      <c r="G320" s="37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 ht="11.25" customHeight="1">
      <c r="A321" s="29"/>
      <c r="B321" s="37"/>
      <c r="C321" s="29"/>
      <c r="D321" s="29"/>
      <c r="E321" s="37"/>
      <c r="F321" s="37"/>
      <c r="G321" s="37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 ht="11.25" customHeight="1">
      <c r="A322" s="29"/>
      <c r="B322" s="37"/>
      <c r="C322" s="29"/>
      <c r="D322" s="29"/>
      <c r="E322" s="37"/>
      <c r="F322" s="37"/>
      <c r="G322" s="37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 ht="11.25" customHeight="1">
      <c r="A323" s="29"/>
      <c r="B323" s="37"/>
      <c r="C323" s="29"/>
      <c r="D323" s="29"/>
      <c r="E323" s="37"/>
      <c r="F323" s="37"/>
      <c r="G323" s="37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 ht="11.25" customHeight="1">
      <c r="A324" s="29"/>
      <c r="B324" s="37"/>
      <c r="C324" s="29"/>
      <c r="D324" s="29"/>
      <c r="E324" s="37"/>
      <c r="F324" s="37"/>
      <c r="G324" s="37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 ht="11.25" customHeight="1">
      <c r="A325" s="29"/>
      <c r="B325" s="37"/>
      <c r="C325" s="29"/>
      <c r="D325" s="29"/>
      <c r="E325" s="37"/>
      <c r="F325" s="37"/>
      <c r="G325" s="37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 ht="11.25" customHeight="1">
      <c r="A326" s="29"/>
      <c r="B326" s="37"/>
      <c r="C326" s="29"/>
      <c r="D326" s="29"/>
      <c r="E326" s="37"/>
      <c r="F326" s="37"/>
      <c r="G326" s="37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 ht="11.25" customHeight="1">
      <c r="A327" s="29"/>
      <c r="B327" s="37"/>
      <c r="C327" s="29"/>
      <c r="D327" s="29"/>
      <c r="E327" s="37"/>
      <c r="F327" s="37"/>
      <c r="G327" s="37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 ht="11.25" customHeight="1">
      <c r="A328" s="29"/>
      <c r="B328" s="37"/>
      <c r="C328" s="29"/>
      <c r="D328" s="29"/>
      <c r="E328" s="37"/>
      <c r="F328" s="37"/>
      <c r="G328" s="37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 ht="11.25" customHeight="1">
      <c r="A329" s="29"/>
      <c r="B329" s="37"/>
      <c r="C329" s="29"/>
      <c r="D329" s="29"/>
      <c r="E329" s="37"/>
      <c r="F329" s="37"/>
      <c r="G329" s="37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 ht="11.25" customHeight="1">
      <c r="A330" s="29"/>
      <c r="B330" s="37"/>
      <c r="C330" s="29"/>
      <c r="D330" s="29"/>
      <c r="E330" s="37"/>
      <c r="F330" s="37"/>
      <c r="G330" s="37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 ht="11.25" customHeight="1">
      <c r="A331" s="29"/>
      <c r="B331" s="37"/>
      <c r="C331" s="29"/>
      <c r="D331" s="29"/>
      <c r="E331" s="37"/>
      <c r="F331" s="37"/>
      <c r="G331" s="37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 ht="11.25" customHeight="1">
      <c r="A332" s="29"/>
      <c r="B332" s="37"/>
      <c r="C332" s="29"/>
      <c r="D332" s="29"/>
      <c r="E332" s="37"/>
      <c r="F332" s="37"/>
      <c r="G332" s="37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 ht="11.25" customHeight="1">
      <c r="A333" s="29"/>
      <c r="B333" s="37"/>
      <c r="C333" s="29"/>
      <c r="D333" s="29"/>
      <c r="E333" s="37"/>
      <c r="F333" s="37"/>
      <c r="G333" s="37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 ht="11.25" customHeight="1">
      <c r="A334" s="29"/>
      <c r="B334" s="37"/>
      <c r="C334" s="29"/>
      <c r="D334" s="29"/>
      <c r="E334" s="37"/>
      <c r="F334" s="37"/>
      <c r="G334" s="37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 ht="11.25" customHeight="1">
      <c r="A335" s="29"/>
      <c r="B335" s="37"/>
      <c r="C335" s="29"/>
      <c r="D335" s="29"/>
      <c r="E335" s="37"/>
      <c r="F335" s="37"/>
      <c r="G335" s="37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 ht="11.25" customHeight="1">
      <c r="A336" s="29"/>
      <c r="B336" s="37"/>
      <c r="C336" s="29"/>
      <c r="D336" s="29"/>
      <c r="E336" s="37"/>
      <c r="F336" s="37"/>
      <c r="G336" s="37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 ht="11.25" customHeight="1">
      <c r="A337" s="29"/>
      <c r="B337" s="37"/>
      <c r="C337" s="29"/>
      <c r="D337" s="29"/>
      <c r="E337" s="37"/>
      <c r="F337" s="37"/>
      <c r="G337" s="37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 ht="11.25" customHeight="1">
      <c r="A338" s="29"/>
      <c r="B338" s="37"/>
      <c r="C338" s="29"/>
      <c r="D338" s="29"/>
      <c r="E338" s="37"/>
      <c r="F338" s="37"/>
      <c r="G338" s="37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 ht="11.25" customHeight="1">
      <c r="A339" s="29"/>
      <c r="B339" s="37"/>
      <c r="C339" s="29"/>
      <c r="D339" s="29"/>
      <c r="E339" s="37"/>
      <c r="F339" s="37"/>
      <c r="G339" s="37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 ht="11.25" customHeight="1">
      <c r="A340" s="29"/>
      <c r="B340" s="37"/>
      <c r="C340" s="29"/>
      <c r="D340" s="29"/>
      <c r="E340" s="37"/>
      <c r="F340" s="37"/>
      <c r="G340" s="37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 ht="11.25" customHeight="1">
      <c r="A341" s="29"/>
      <c r="B341" s="37"/>
      <c r="C341" s="29"/>
      <c r="D341" s="29"/>
      <c r="E341" s="37"/>
      <c r="F341" s="37"/>
      <c r="G341" s="37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 ht="11.25" customHeight="1">
      <c r="A342" s="29"/>
      <c r="B342" s="37"/>
      <c r="C342" s="29"/>
      <c r="D342" s="29"/>
      <c r="E342" s="37"/>
      <c r="F342" s="37"/>
      <c r="G342" s="37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 ht="11.25" customHeight="1">
      <c r="A343" s="29"/>
      <c r="B343" s="37"/>
      <c r="C343" s="29"/>
      <c r="D343" s="29"/>
      <c r="E343" s="37"/>
      <c r="F343" s="37"/>
      <c r="G343" s="37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 ht="11.25" customHeight="1">
      <c r="A344" s="29"/>
      <c r="B344" s="37"/>
      <c r="C344" s="29"/>
      <c r="D344" s="29"/>
      <c r="E344" s="37"/>
      <c r="F344" s="37"/>
      <c r="G344" s="37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 ht="11.25" customHeight="1">
      <c r="A345" s="29"/>
      <c r="B345" s="37"/>
      <c r="C345" s="29"/>
      <c r="D345" s="29"/>
      <c r="E345" s="37"/>
      <c r="F345" s="37"/>
      <c r="G345" s="37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 ht="11.25" customHeight="1">
      <c r="A346" s="29"/>
      <c r="B346" s="37"/>
      <c r="C346" s="29"/>
      <c r="D346" s="29"/>
      <c r="E346" s="37"/>
      <c r="F346" s="37"/>
      <c r="G346" s="37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 ht="11.25" customHeight="1">
      <c r="A347" s="29"/>
      <c r="B347" s="37"/>
      <c r="C347" s="29"/>
      <c r="D347" s="29"/>
      <c r="E347" s="37"/>
      <c r="F347" s="37"/>
      <c r="G347" s="37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 ht="11.25" customHeight="1">
      <c r="A348" s="29"/>
      <c r="B348" s="37"/>
      <c r="C348" s="29"/>
      <c r="D348" s="29"/>
      <c r="E348" s="37"/>
      <c r="F348" s="37"/>
      <c r="G348" s="37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 ht="11.25" customHeight="1">
      <c r="A349" s="29"/>
      <c r="B349" s="37"/>
      <c r="C349" s="29"/>
      <c r="D349" s="29"/>
      <c r="E349" s="37"/>
      <c r="F349" s="37"/>
      <c r="G349" s="37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 ht="11.25" customHeight="1">
      <c r="A350" s="29"/>
      <c r="B350" s="37"/>
      <c r="C350" s="29"/>
      <c r="D350" s="29"/>
      <c r="E350" s="37"/>
      <c r="F350" s="37"/>
      <c r="G350" s="37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 ht="11.25" customHeight="1">
      <c r="A351" s="29"/>
      <c r="B351" s="37"/>
      <c r="C351" s="29"/>
      <c r="D351" s="29"/>
      <c r="E351" s="37"/>
      <c r="F351" s="37"/>
      <c r="G351" s="37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 ht="11.25" customHeight="1">
      <c r="A352" s="29"/>
      <c r="B352" s="37"/>
      <c r="C352" s="29"/>
      <c r="D352" s="29"/>
      <c r="E352" s="37"/>
      <c r="F352" s="37"/>
      <c r="G352" s="37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 ht="11.25" customHeight="1">
      <c r="A353" s="29"/>
      <c r="B353" s="37"/>
      <c r="C353" s="29"/>
      <c r="D353" s="29"/>
      <c r="E353" s="37"/>
      <c r="F353" s="37"/>
      <c r="G353" s="37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 ht="11.25" customHeight="1">
      <c r="A354" s="29"/>
      <c r="B354" s="37"/>
      <c r="C354" s="29"/>
      <c r="D354" s="29"/>
      <c r="E354" s="37"/>
      <c r="F354" s="37"/>
      <c r="G354" s="37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 ht="11.25" customHeight="1">
      <c r="A355" s="29"/>
      <c r="B355" s="37"/>
      <c r="C355" s="29"/>
      <c r="D355" s="29"/>
      <c r="E355" s="37"/>
      <c r="F355" s="37"/>
      <c r="G355" s="37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 ht="11.25" customHeight="1">
      <c r="A356" s="29"/>
      <c r="B356" s="37"/>
      <c r="C356" s="29"/>
      <c r="D356" s="29"/>
      <c r="E356" s="37"/>
      <c r="F356" s="37"/>
      <c r="G356" s="37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 ht="11.25" customHeight="1">
      <c r="A357" s="29"/>
      <c r="B357" s="37"/>
      <c r="C357" s="29"/>
      <c r="D357" s="29"/>
      <c r="E357" s="37"/>
      <c r="F357" s="37"/>
      <c r="G357" s="37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 ht="11.25" customHeight="1">
      <c r="A358" s="29"/>
      <c r="B358" s="37"/>
      <c r="C358" s="29"/>
      <c r="D358" s="29"/>
      <c r="E358" s="37"/>
      <c r="F358" s="37"/>
      <c r="G358" s="37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 ht="11.25" customHeight="1">
      <c r="A359" s="29"/>
      <c r="B359" s="37"/>
      <c r="C359" s="29"/>
      <c r="D359" s="29"/>
      <c r="E359" s="37"/>
      <c r="F359" s="37"/>
      <c r="G359" s="37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 ht="11.25" customHeight="1">
      <c r="A360" s="29"/>
      <c r="B360" s="37"/>
      <c r="C360" s="29"/>
      <c r="D360" s="29"/>
      <c r="E360" s="37"/>
      <c r="F360" s="37"/>
      <c r="G360" s="37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 ht="11.25" customHeight="1">
      <c r="A361" s="29"/>
      <c r="B361" s="37"/>
      <c r="C361" s="29"/>
      <c r="D361" s="29"/>
      <c r="E361" s="37"/>
      <c r="F361" s="37"/>
      <c r="G361" s="37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 ht="11.25" customHeight="1">
      <c r="A362" s="29"/>
      <c r="B362" s="37"/>
      <c r="C362" s="29"/>
      <c r="D362" s="29"/>
      <c r="E362" s="37"/>
      <c r="F362" s="37"/>
      <c r="G362" s="37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 ht="11.25" customHeight="1">
      <c r="A363" s="29"/>
      <c r="B363" s="37"/>
      <c r="C363" s="29"/>
      <c r="D363" s="29"/>
      <c r="E363" s="37"/>
      <c r="F363" s="37"/>
      <c r="G363" s="37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 ht="11.25" customHeight="1">
      <c r="A364" s="29"/>
      <c r="B364" s="37"/>
      <c r="C364" s="29"/>
      <c r="D364" s="29"/>
      <c r="E364" s="37"/>
      <c r="F364" s="37"/>
      <c r="G364" s="37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 ht="11.25" customHeight="1">
      <c r="A365" s="29"/>
      <c r="B365" s="37"/>
      <c r="C365" s="29"/>
      <c r="D365" s="29"/>
      <c r="E365" s="37"/>
      <c r="F365" s="37"/>
      <c r="G365" s="37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 ht="11.25" customHeight="1">
      <c r="A366" s="29"/>
      <c r="B366" s="37"/>
      <c r="C366" s="29"/>
      <c r="D366" s="29"/>
      <c r="E366" s="37"/>
      <c r="F366" s="37"/>
      <c r="G366" s="37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 ht="11.25" customHeight="1">
      <c r="A367" s="29"/>
      <c r="B367" s="37"/>
      <c r="C367" s="29"/>
      <c r="D367" s="29"/>
      <c r="E367" s="37"/>
      <c r="F367" s="37"/>
      <c r="G367" s="37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 ht="11.25" customHeight="1">
      <c r="A368" s="29"/>
      <c r="B368" s="37"/>
      <c r="C368" s="29"/>
      <c r="D368" s="29"/>
      <c r="E368" s="37"/>
      <c r="F368" s="37"/>
      <c r="G368" s="37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 ht="11.25" customHeight="1">
      <c r="A369" s="29"/>
      <c r="B369" s="37"/>
      <c r="C369" s="29"/>
      <c r="D369" s="29"/>
      <c r="E369" s="37"/>
      <c r="F369" s="37"/>
      <c r="G369" s="37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 ht="11.25" customHeight="1">
      <c r="A370" s="29"/>
      <c r="B370" s="37"/>
      <c r="C370" s="29"/>
      <c r="D370" s="29"/>
      <c r="E370" s="37"/>
      <c r="F370" s="37"/>
      <c r="G370" s="37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 ht="11.25" customHeight="1">
      <c r="A371" s="29"/>
      <c r="B371" s="37"/>
      <c r="C371" s="29"/>
      <c r="D371" s="29"/>
      <c r="E371" s="37"/>
      <c r="F371" s="37"/>
      <c r="G371" s="37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 ht="11.25" customHeight="1">
      <c r="A372" s="29"/>
      <c r="B372" s="37"/>
      <c r="C372" s="29"/>
      <c r="D372" s="29"/>
      <c r="E372" s="37"/>
      <c r="F372" s="37"/>
      <c r="G372" s="37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 ht="11.25" customHeight="1">
      <c r="A373" s="29"/>
      <c r="B373" s="37"/>
      <c r="C373" s="29"/>
      <c r="D373" s="29"/>
      <c r="E373" s="37"/>
      <c r="F373" s="37"/>
      <c r="G373" s="37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 ht="11.25" customHeight="1">
      <c r="A374" s="29"/>
      <c r="B374" s="37"/>
      <c r="C374" s="29"/>
      <c r="D374" s="29"/>
      <c r="E374" s="37"/>
      <c r="F374" s="37"/>
      <c r="G374" s="37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 ht="11.25" customHeight="1">
      <c r="A375" s="29"/>
      <c r="B375" s="37"/>
      <c r="C375" s="29"/>
      <c r="D375" s="29"/>
      <c r="E375" s="37"/>
      <c r="F375" s="37"/>
      <c r="G375" s="37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 ht="11.25" customHeight="1">
      <c r="A376" s="29"/>
      <c r="B376" s="37"/>
      <c r="C376" s="29"/>
      <c r="D376" s="29"/>
      <c r="E376" s="37"/>
      <c r="F376" s="37"/>
      <c r="G376" s="37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 ht="11.25" customHeight="1">
      <c r="A377" s="29"/>
      <c r="B377" s="37"/>
      <c r="C377" s="29"/>
      <c r="D377" s="29"/>
      <c r="E377" s="37"/>
      <c r="F377" s="37"/>
      <c r="G377" s="37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 ht="11.25" customHeight="1">
      <c r="A378" s="29"/>
      <c r="B378" s="37"/>
      <c r="C378" s="29"/>
      <c r="D378" s="29"/>
      <c r="E378" s="37"/>
      <c r="F378" s="37"/>
      <c r="G378" s="37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 ht="11.25" customHeight="1">
      <c r="A379" s="29"/>
      <c r="B379" s="37"/>
      <c r="C379" s="29"/>
      <c r="D379" s="29"/>
      <c r="E379" s="37"/>
      <c r="F379" s="37"/>
      <c r="G379" s="37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 ht="11.25" customHeight="1">
      <c r="A380" s="29"/>
      <c r="B380" s="37"/>
      <c r="C380" s="29"/>
      <c r="D380" s="29"/>
      <c r="E380" s="37"/>
      <c r="F380" s="37"/>
      <c r="G380" s="37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 ht="11.25" customHeight="1">
      <c r="A381" s="29"/>
      <c r="B381" s="37"/>
      <c r="C381" s="29"/>
      <c r="D381" s="29"/>
      <c r="E381" s="37"/>
      <c r="F381" s="37"/>
      <c r="G381" s="37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 ht="11.25" customHeight="1">
      <c r="A382" s="29"/>
      <c r="B382" s="37"/>
      <c r="C382" s="29"/>
      <c r="D382" s="29"/>
      <c r="E382" s="37"/>
      <c r="F382" s="37"/>
      <c r="G382" s="37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 ht="11.25" customHeight="1">
      <c r="A383" s="29"/>
      <c r="B383" s="37"/>
      <c r="C383" s="29"/>
      <c r="D383" s="29"/>
      <c r="E383" s="37"/>
      <c r="F383" s="37"/>
      <c r="G383" s="37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 ht="11.25" customHeight="1">
      <c r="A384" s="29"/>
      <c r="B384" s="37"/>
      <c r="C384" s="29"/>
      <c r="D384" s="29"/>
      <c r="E384" s="37"/>
      <c r="F384" s="37"/>
      <c r="G384" s="37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 ht="11.25" customHeight="1">
      <c r="A385" s="29"/>
      <c r="B385" s="37"/>
      <c r="C385" s="29"/>
      <c r="D385" s="29"/>
      <c r="E385" s="37"/>
      <c r="F385" s="37"/>
      <c r="G385" s="37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 ht="11.25" customHeight="1">
      <c r="A386" s="29"/>
      <c r="B386" s="37"/>
      <c r="C386" s="29"/>
      <c r="D386" s="29"/>
      <c r="E386" s="37"/>
      <c r="F386" s="37"/>
      <c r="G386" s="37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 ht="11.25" customHeight="1">
      <c r="A387" s="29"/>
      <c r="B387" s="37"/>
      <c r="C387" s="29"/>
      <c r="D387" s="29"/>
      <c r="E387" s="37"/>
      <c r="F387" s="37"/>
      <c r="G387" s="37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 ht="11.25" customHeight="1">
      <c r="A388" s="29"/>
      <c r="B388" s="37"/>
      <c r="C388" s="29"/>
      <c r="D388" s="29"/>
      <c r="E388" s="37"/>
      <c r="F388" s="37"/>
      <c r="G388" s="37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 ht="11.25" customHeight="1">
      <c r="A389" s="29"/>
      <c r="B389" s="37"/>
      <c r="C389" s="29"/>
      <c r="D389" s="29"/>
      <c r="E389" s="37"/>
      <c r="F389" s="37"/>
      <c r="G389" s="37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 ht="11.25" customHeight="1">
      <c r="A390" s="29"/>
      <c r="B390" s="37"/>
      <c r="C390" s="29"/>
      <c r="D390" s="29"/>
      <c r="E390" s="37"/>
      <c r="F390" s="37"/>
      <c r="G390" s="37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 ht="11.25" customHeight="1">
      <c r="A391" s="29"/>
      <c r="B391" s="37"/>
      <c r="C391" s="29"/>
      <c r="D391" s="29"/>
      <c r="E391" s="37"/>
      <c r="F391" s="37"/>
      <c r="G391" s="37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 ht="11.25" customHeight="1">
      <c r="A392" s="29"/>
      <c r="B392" s="37"/>
      <c r="C392" s="29"/>
      <c r="D392" s="29"/>
      <c r="E392" s="37"/>
      <c r="F392" s="37"/>
      <c r="G392" s="37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 ht="11.25" customHeight="1">
      <c r="A393" s="29"/>
      <c r="B393" s="37"/>
      <c r="C393" s="29"/>
      <c r="D393" s="29"/>
      <c r="E393" s="37"/>
      <c r="F393" s="37"/>
      <c r="G393" s="37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 ht="11.25" customHeight="1">
      <c r="A394" s="29"/>
      <c r="B394" s="37"/>
      <c r="C394" s="29"/>
      <c r="D394" s="29"/>
      <c r="E394" s="37"/>
      <c r="F394" s="37"/>
      <c r="G394" s="37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 ht="11.25" customHeight="1">
      <c r="A395" s="29"/>
      <c r="B395" s="37"/>
      <c r="C395" s="29"/>
      <c r="D395" s="29"/>
      <c r="E395" s="37"/>
      <c r="F395" s="37"/>
      <c r="G395" s="37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 ht="11.25" customHeight="1">
      <c r="A396" s="29"/>
      <c r="B396" s="37"/>
      <c r="C396" s="29"/>
      <c r="D396" s="29"/>
      <c r="E396" s="37"/>
      <c r="F396" s="37"/>
      <c r="G396" s="37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 ht="11.25" customHeight="1">
      <c r="A397" s="29"/>
      <c r="B397" s="37"/>
      <c r="C397" s="29"/>
      <c r="D397" s="29"/>
      <c r="E397" s="37"/>
      <c r="F397" s="37"/>
      <c r="G397" s="37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 ht="11.25" customHeight="1">
      <c r="A398" s="29"/>
      <c r="B398" s="37"/>
      <c r="C398" s="29"/>
      <c r="D398" s="29"/>
      <c r="E398" s="37"/>
      <c r="F398" s="37"/>
      <c r="G398" s="37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 ht="11.25" customHeight="1">
      <c r="A399" s="29"/>
      <c r="B399" s="37"/>
      <c r="C399" s="29"/>
      <c r="D399" s="29"/>
      <c r="E399" s="37"/>
      <c r="F399" s="37"/>
      <c r="G399" s="37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 ht="11.25" customHeight="1">
      <c r="A400" s="29"/>
      <c r="B400" s="37"/>
      <c r="C400" s="29"/>
      <c r="D400" s="29"/>
      <c r="E400" s="37"/>
      <c r="F400" s="37"/>
      <c r="G400" s="37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 ht="11.25" customHeight="1">
      <c r="A401" s="29"/>
      <c r="B401" s="37"/>
      <c r="C401" s="29"/>
      <c r="D401" s="29"/>
      <c r="E401" s="37"/>
      <c r="F401" s="37"/>
      <c r="G401" s="37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 ht="11.25" customHeight="1">
      <c r="A402" s="29"/>
      <c r="B402" s="37"/>
      <c r="C402" s="29"/>
      <c r="D402" s="29"/>
      <c r="E402" s="37"/>
      <c r="F402" s="37"/>
      <c r="G402" s="37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 ht="11.25" customHeight="1">
      <c r="A403" s="29"/>
      <c r="B403" s="37"/>
      <c r="C403" s="29"/>
      <c r="D403" s="29"/>
      <c r="E403" s="37"/>
      <c r="F403" s="37"/>
      <c r="G403" s="37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 ht="11.25" customHeight="1">
      <c r="A404" s="29"/>
      <c r="B404" s="37"/>
      <c r="C404" s="29"/>
      <c r="D404" s="29"/>
      <c r="E404" s="37"/>
      <c r="F404" s="37"/>
      <c r="G404" s="37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 ht="11.25" customHeight="1">
      <c r="A405" s="29"/>
      <c r="B405" s="37"/>
      <c r="C405" s="29"/>
      <c r="D405" s="29"/>
      <c r="E405" s="37"/>
      <c r="F405" s="37"/>
      <c r="G405" s="37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 ht="11.25" customHeight="1">
      <c r="A406" s="29"/>
      <c r="B406" s="37"/>
      <c r="C406" s="29"/>
      <c r="D406" s="29"/>
      <c r="E406" s="37"/>
      <c r="F406" s="37"/>
      <c r="G406" s="37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 ht="11.25" customHeight="1">
      <c r="A407" s="29"/>
      <c r="B407" s="37"/>
      <c r="C407" s="29"/>
      <c r="D407" s="29"/>
      <c r="E407" s="37"/>
      <c r="F407" s="37"/>
      <c r="G407" s="37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 ht="11.25" customHeight="1">
      <c r="A408" s="29"/>
      <c r="B408" s="37"/>
      <c r="C408" s="29"/>
      <c r="D408" s="29"/>
      <c r="E408" s="37"/>
      <c r="F408" s="37"/>
      <c r="G408" s="37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 ht="11.25" customHeight="1">
      <c r="A409" s="29"/>
      <c r="B409" s="37"/>
      <c r="C409" s="29"/>
      <c r="D409" s="29"/>
      <c r="E409" s="37"/>
      <c r="F409" s="37"/>
      <c r="G409" s="37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 ht="11.25" customHeight="1">
      <c r="A410" s="29"/>
      <c r="B410" s="37"/>
      <c r="C410" s="29"/>
      <c r="D410" s="29"/>
      <c r="E410" s="37"/>
      <c r="F410" s="37"/>
      <c r="G410" s="37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 ht="11.25" customHeight="1">
      <c r="A411" s="29"/>
      <c r="B411" s="37"/>
      <c r="C411" s="29"/>
      <c r="D411" s="29"/>
      <c r="E411" s="37"/>
      <c r="F411" s="37"/>
      <c r="G411" s="37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 ht="11.25" customHeight="1">
      <c r="A412" s="29"/>
      <c r="B412" s="37"/>
      <c r="C412" s="29"/>
      <c r="D412" s="29"/>
      <c r="E412" s="37"/>
      <c r="F412" s="37"/>
      <c r="G412" s="37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 ht="11.25" customHeight="1">
      <c r="A413" s="29"/>
      <c r="B413" s="37"/>
      <c r="C413" s="29"/>
      <c r="D413" s="29"/>
      <c r="E413" s="37"/>
      <c r="F413" s="37"/>
      <c r="G413" s="37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 ht="11.25" customHeight="1">
      <c r="A414" s="29"/>
      <c r="B414" s="37"/>
      <c r="C414" s="29"/>
      <c r="D414" s="29"/>
      <c r="E414" s="37"/>
      <c r="F414" s="37"/>
      <c r="G414" s="37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 ht="11.25" customHeight="1">
      <c r="A415" s="29"/>
      <c r="B415" s="37"/>
      <c r="C415" s="29"/>
      <c r="D415" s="29"/>
      <c r="E415" s="37"/>
      <c r="F415" s="37"/>
      <c r="G415" s="37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 ht="11.25" customHeight="1">
      <c r="A416" s="29"/>
      <c r="B416" s="37"/>
      <c r="C416" s="29"/>
      <c r="D416" s="29"/>
      <c r="E416" s="37"/>
      <c r="F416" s="37"/>
      <c r="G416" s="37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 ht="11.25" customHeight="1">
      <c r="A417" s="29"/>
      <c r="B417" s="37"/>
      <c r="C417" s="29"/>
      <c r="D417" s="29"/>
      <c r="E417" s="37"/>
      <c r="F417" s="37"/>
      <c r="G417" s="37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 ht="11.25" customHeight="1">
      <c r="A418" s="29"/>
      <c r="B418" s="37"/>
      <c r="C418" s="29"/>
      <c r="D418" s="29"/>
      <c r="E418" s="37"/>
      <c r="F418" s="37"/>
      <c r="G418" s="37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 ht="11.25" customHeight="1">
      <c r="A419" s="29"/>
      <c r="B419" s="37"/>
      <c r="C419" s="29"/>
      <c r="D419" s="29"/>
      <c r="E419" s="37"/>
      <c r="F419" s="37"/>
      <c r="G419" s="37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 ht="11.25" customHeight="1">
      <c r="A420" s="29"/>
      <c r="B420" s="37"/>
      <c r="C420" s="29"/>
      <c r="D420" s="29"/>
      <c r="E420" s="37"/>
      <c r="F420" s="37"/>
      <c r="G420" s="37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 ht="11.25" customHeight="1">
      <c r="A421" s="29"/>
      <c r="B421" s="37"/>
      <c r="C421" s="29"/>
      <c r="D421" s="29"/>
      <c r="E421" s="37"/>
      <c r="F421" s="37"/>
      <c r="G421" s="37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 ht="11.25" customHeight="1">
      <c r="A422" s="29"/>
      <c r="B422" s="37"/>
      <c r="C422" s="29"/>
      <c r="D422" s="29"/>
      <c r="E422" s="37"/>
      <c r="F422" s="37"/>
      <c r="G422" s="37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 ht="11.25" customHeight="1">
      <c r="A423" s="29"/>
      <c r="B423" s="37"/>
      <c r="C423" s="29"/>
      <c r="D423" s="29"/>
      <c r="E423" s="37"/>
      <c r="F423" s="37"/>
      <c r="G423" s="37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 ht="11.25" customHeight="1">
      <c r="A424" s="29"/>
      <c r="B424" s="37"/>
      <c r="C424" s="29"/>
      <c r="D424" s="29"/>
      <c r="E424" s="37"/>
      <c r="F424" s="37"/>
      <c r="G424" s="37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 ht="11.25" customHeight="1">
      <c r="A425" s="29"/>
      <c r="B425" s="37"/>
      <c r="C425" s="29"/>
      <c r="D425" s="29"/>
      <c r="E425" s="37"/>
      <c r="F425" s="37"/>
      <c r="G425" s="37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 ht="11.25" customHeight="1">
      <c r="A426" s="29"/>
      <c r="B426" s="37"/>
      <c r="C426" s="29"/>
      <c r="D426" s="29"/>
      <c r="E426" s="37"/>
      <c r="F426" s="37"/>
      <c r="G426" s="37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 ht="11.25" customHeight="1">
      <c r="A427" s="29"/>
      <c r="B427" s="37"/>
      <c r="C427" s="29"/>
      <c r="D427" s="29"/>
      <c r="E427" s="37"/>
      <c r="F427" s="37"/>
      <c r="G427" s="37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 ht="11.25" customHeight="1">
      <c r="A428" s="29"/>
      <c r="B428" s="37"/>
      <c r="C428" s="29"/>
      <c r="D428" s="29"/>
      <c r="E428" s="37"/>
      <c r="F428" s="37"/>
      <c r="G428" s="37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 ht="11.25" customHeight="1">
      <c r="A429" s="29"/>
      <c r="B429" s="37"/>
      <c r="C429" s="29"/>
      <c r="D429" s="29"/>
      <c r="E429" s="37"/>
      <c r="F429" s="37"/>
      <c r="G429" s="37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 ht="11.25" customHeight="1">
      <c r="A430" s="29"/>
      <c r="B430" s="37"/>
      <c r="C430" s="29"/>
      <c r="D430" s="29"/>
      <c r="E430" s="37"/>
      <c r="F430" s="37"/>
      <c r="G430" s="37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 ht="11.25" customHeight="1">
      <c r="A431" s="29"/>
      <c r="B431" s="37"/>
      <c r="C431" s="29"/>
      <c r="D431" s="29"/>
      <c r="E431" s="37"/>
      <c r="F431" s="37"/>
      <c r="G431" s="37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 ht="11.25" customHeight="1">
      <c r="A432" s="29"/>
      <c r="B432" s="37"/>
      <c r="C432" s="29"/>
      <c r="D432" s="29"/>
      <c r="E432" s="37"/>
      <c r="F432" s="37"/>
      <c r="G432" s="37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 ht="11.25" customHeight="1">
      <c r="A433" s="29"/>
      <c r="B433" s="37"/>
      <c r="C433" s="29"/>
      <c r="D433" s="29"/>
      <c r="E433" s="37"/>
      <c r="F433" s="37"/>
      <c r="G433" s="37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 ht="11.25" customHeight="1">
      <c r="A434" s="29"/>
      <c r="B434" s="37"/>
      <c r="C434" s="29"/>
      <c r="D434" s="29"/>
      <c r="E434" s="37"/>
      <c r="F434" s="37"/>
      <c r="G434" s="37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 ht="11.25" customHeight="1">
      <c r="A435" s="29"/>
      <c r="B435" s="37"/>
      <c r="C435" s="29"/>
      <c r="D435" s="29"/>
      <c r="E435" s="37"/>
      <c r="F435" s="37"/>
      <c r="G435" s="37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 ht="11.25" customHeight="1">
      <c r="A436" s="29"/>
      <c r="B436" s="37"/>
      <c r="C436" s="29"/>
      <c r="D436" s="29"/>
      <c r="E436" s="37"/>
      <c r="F436" s="37"/>
      <c r="G436" s="37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 ht="11.25" customHeight="1">
      <c r="A437" s="29"/>
      <c r="B437" s="37"/>
      <c r="C437" s="29"/>
      <c r="D437" s="29"/>
      <c r="E437" s="37"/>
      <c r="F437" s="37"/>
      <c r="G437" s="37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 ht="11.25" customHeight="1">
      <c r="A438" s="29"/>
      <c r="B438" s="37"/>
      <c r="C438" s="29"/>
      <c r="D438" s="29"/>
      <c r="E438" s="37"/>
      <c r="F438" s="37"/>
      <c r="G438" s="37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 ht="11.25" customHeight="1">
      <c r="A439" s="29"/>
      <c r="B439" s="37"/>
      <c r="C439" s="29"/>
      <c r="D439" s="29"/>
      <c r="E439" s="37"/>
      <c r="F439" s="37"/>
      <c r="G439" s="37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 ht="11.25" customHeight="1">
      <c r="A440" s="29"/>
      <c r="B440" s="37"/>
      <c r="C440" s="29"/>
      <c r="D440" s="29"/>
      <c r="E440" s="37"/>
      <c r="F440" s="37"/>
      <c r="G440" s="37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 ht="11.25" customHeight="1">
      <c r="A441" s="29"/>
      <c r="B441" s="37"/>
      <c r="C441" s="29"/>
      <c r="D441" s="29"/>
      <c r="E441" s="37"/>
      <c r="F441" s="37"/>
      <c r="G441" s="37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 ht="11.25" customHeight="1">
      <c r="A442" s="29"/>
      <c r="B442" s="37"/>
      <c r="C442" s="29"/>
      <c r="D442" s="29"/>
      <c r="E442" s="37"/>
      <c r="F442" s="37"/>
      <c r="G442" s="37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 ht="11.25" customHeight="1">
      <c r="A443" s="29"/>
      <c r="B443" s="37"/>
      <c r="C443" s="29"/>
      <c r="D443" s="29"/>
      <c r="E443" s="37"/>
      <c r="F443" s="37"/>
      <c r="G443" s="37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 ht="11.25" customHeight="1">
      <c r="A444" s="29"/>
      <c r="B444" s="37"/>
      <c r="C444" s="29"/>
      <c r="D444" s="29"/>
      <c r="E444" s="37"/>
      <c r="F444" s="37"/>
      <c r="G444" s="37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 ht="11.25" customHeight="1">
      <c r="A445" s="29"/>
      <c r="B445" s="37"/>
      <c r="C445" s="29"/>
      <c r="D445" s="29"/>
      <c r="E445" s="37"/>
      <c r="F445" s="37"/>
      <c r="G445" s="37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 ht="11.25" customHeight="1">
      <c r="A446" s="29"/>
      <c r="B446" s="37"/>
      <c r="C446" s="29"/>
      <c r="D446" s="29"/>
      <c r="E446" s="37"/>
      <c r="F446" s="37"/>
      <c r="G446" s="37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 ht="11.25" customHeight="1">
      <c r="A447" s="29"/>
      <c r="B447" s="37"/>
      <c r="C447" s="29"/>
      <c r="D447" s="29"/>
      <c r="E447" s="37"/>
      <c r="F447" s="37"/>
      <c r="G447" s="37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 ht="11.25" customHeight="1">
      <c r="A448" s="29"/>
      <c r="B448" s="37"/>
      <c r="C448" s="29"/>
      <c r="D448" s="29"/>
      <c r="E448" s="37"/>
      <c r="F448" s="37"/>
      <c r="G448" s="37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 ht="11.25" customHeight="1">
      <c r="A449" s="29"/>
      <c r="B449" s="37"/>
      <c r="C449" s="29"/>
      <c r="D449" s="29"/>
      <c r="E449" s="37"/>
      <c r="F449" s="37"/>
      <c r="G449" s="37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 ht="11.25" customHeight="1">
      <c r="A450" s="29"/>
      <c r="B450" s="37"/>
      <c r="C450" s="29"/>
      <c r="D450" s="29"/>
      <c r="E450" s="37"/>
      <c r="F450" s="37"/>
      <c r="G450" s="37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 ht="11.25" customHeight="1">
      <c r="A451" s="29"/>
      <c r="B451" s="37"/>
      <c r="C451" s="29"/>
      <c r="D451" s="29"/>
      <c r="E451" s="37"/>
      <c r="F451" s="37"/>
      <c r="G451" s="37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 ht="11.25" customHeight="1">
      <c r="A452" s="29"/>
      <c r="B452" s="37"/>
      <c r="C452" s="29"/>
      <c r="D452" s="29"/>
      <c r="E452" s="37"/>
      <c r="F452" s="37"/>
      <c r="G452" s="37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 ht="11.25" customHeight="1">
      <c r="A453" s="29"/>
      <c r="B453" s="37"/>
      <c r="C453" s="29"/>
      <c r="D453" s="29"/>
      <c r="E453" s="37"/>
      <c r="F453" s="37"/>
      <c r="G453" s="37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 ht="11.25" customHeight="1">
      <c r="A454" s="29"/>
      <c r="B454" s="37"/>
      <c r="C454" s="29"/>
      <c r="D454" s="29"/>
      <c r="E454" s="37"/>
      <c r="F454" s="37"/>
      <c r="G454" s="37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 ht="11.25" customHeight="1">
      <c r="A455" s="29"/>
      <c r="B455" s="37"/>
      <c r="C455" s="29"/>
      <c r="D455" s="29"/>
      <c r="E455" s="37"/>
      <c r="F455" s="37"/>
      <c r="G455" s="37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 ht="11.25" customHeight="1">
      <c r="A456" s="29"/>
      <c r="B456" s="37"/>
      <c r="C456" s="29"/>
      <c r="D456" s="29"/>
      <c r="E456" s="37"/>
      <c r="F456" s="37"/>
      <c r="G456" s="37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 ht="11.25" customHeight="1">
      <c r="A457" s="29"/>
      <c r="B457" s="37"/>
      <c r="C457" s="29"/>
      <c r="D457" s="29"/>
      <c r="E457" s="37"/>
      <c r="F457" s="37"/>
      <c r="G457" s="37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 ht="11.25" customHeight="1">
      <c r="A458" s="29"/>
      <c r="B458" s="37"/>
      <c r="C458" s="29"/>
      <c r="D458" s="29"/>
      <c r="E458" s="37"/>
      <c r="F458" s="37"/>
      <c r="G458" s="37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 ht="11.25" customHeight="1">
      <c r="A459" s="29"/>
      <c r="B459" s="37"/>
      <c r="C459" s="29"/>
      <c r="D459" s="29"/>
      <c r="E459" s="37"/>
      <c r="F459" s="37"/>
      <c r="G459" s="37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 ht="11.25" customHeight="1">
      <c r="A460" s="29"/>
      <c r="B460" s="37"/>
      <c r="C460" s="29"/>
      <c r="D460" s="29"/>
      <c r="E460" s="37"/>
      <c r="F460" s="37"/>
      <c r="G460" s="37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 ht="11.25" customHeight="1">
      <c r="A461" s="29"/>
      <c r="B461" s="37"/>
      <c r="C461" s="29"/>
      <c r="D461" s="29"/>
      <c r="E461" s="37"/>
      <c r="F461" s="37"/>
      <c r="G461" s="37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 ht="11.25" customHeight="1">
      <c r="A462" s="29"/>
      <c r="B462" s="37"/>
      <c r="C462" s="29"/>
      <c r="D462" s="29"/>
      <c r="E462" s="37"/>
      <c r="F462" s="37"/>
      <c r="G462" s="37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 ht="11.25" customHeight="1">
      <c r="A463" s="29"/>
      <c r="B463" s="37"/>
      <c r="C463" s="29"/>
      <c r="D463" s="29"/>
      <c r="E463" s="37"/>
      <c r="F463" s="37"/>
      <c r="G463" s="37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 ht="11.25" customHeight="1">
      <c r="A464" s="29"/>
      <c r="B464" s="37"/>
      <c r="C464" s="29"/>
      <c r="D464" s="29"/>
      <c r="E464" s="37"/>
      <c r="F464" s="37"/>
      <c r="G464" s="37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 ht="11.25" customHeight="1">
      <c r="A465" s="29"/>
      <c r="B465" s="37"/>
      <c r="C465" s="29"/>
      <c r="D465" s="29"/>
      <c r="E465" s="37"/>
      <c r="F465" s="37"/>
      <c r="G465" s="37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 ht="11.25" customHeight="1">
      <c r="A466" s="29"/>
      <c r="B466" s="37"/>
      <c r="C466" s="29"/>
      <c r="D466" s="29"/>
      <c r="E466" s="37"/>
      <c r="F466" s="37"/>
      <c r="G466" s="37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 ht="11.25" customHeight="1">
      <c r="A467" s="29"/>
      <c r="B467" s="37"/>
      <c r="C467" s="29"/>
      <c r="D467" s="29"/>
      <c r="E467" s="37"/>
      <c r="F467" s="37"/>
      <c r="G467" s="37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 ht="11.25" customHeight="1">
      <c r="A468" s="29"/>
      <c r="B468" s="37"/>
      <c r="C468" s="29"/>
      <c r="D468" s="29"/>
      <c r="E468" s="37"/>
      <c r="F468" s="37"/>
      <c r="G468" s="37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 ht="11.25" customHeight="1">
      <c r="A469" s="29"/>
      <c r="B469" s="37"/>
      <c r="C469" s="29"/>
      <c r="D469" s="29"/>
      <c r="E469" s="37"/>
      <c r="F469" s="37"/>
      <c r="G469" s="37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 ht="11.25" customHeight="1">
      <c r="A470" s="29"/>
      <c r="B470" s="37"/>
      <c r="C470" s="29"/>
      <c r="D470" s="29"/>
      <c r="E470" s="37"/>
      <c r="F470" s="37"/>
      <c r="G470" s="37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 ht="11.25" customHeight="1">
      <c r="A471" s="29"/>
      <c r="B471" s="37"/>
      <c r="C471" s="29"/>
      <c r="D471" s="29"/>
      <c r="E471" s="37"/>
      <c r="F471" s="37"/>
      <c r="G471" s="37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 ht="11.25" customHeight="1">
      <c r="A472" s="29"/>
      <c r="B472" s="37"/>
      <c r="C472" s="29"/>
      <c r="D472" s="29"/>
      <c r="E472" s="37"/>
      <c r="F472" s="37"/>
      <c r="G472" s="37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 ht="11.25" customHeight="1">
      <c r="A473" s="29"/>
      <c r="B473" s="37"/>
      <c r="C473" s="29"/>
      <c r="D473" s="29"/>
      <c r="E473" s="37"/>
      <c r="F473" s="37"/>
      <c r="G473" s="37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 ht="11.25" customHeight="1">
      <c r="A474" s="29"/>
      <c r="B474" s="37"/>
      <c r="C474" s="29"/>
      <c r="D474" s="29"/>
      <c r="E474" s="37"/>
      <c r="F474" s="37"/>
      <c r="G474" s="37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 ht="11.25" customHeight="1">
      <c r="A475" s="29"/>
      <c r="B475" s="37"/>
      <c r="C475" s="29"/>
      <c r="D475" s="29"/>
      <c r="E475" s="37"/>
      <c r="F475" s="37"/>
      <c r="G475" s="37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 ht="11.25" customHeight="1">
      <c r="A476" s="29"/>
      <c r="B476" s="37"/>
      <c r="C476" s="29"/>
      <c r="D476" s="29"/>
      <c r="E476" s="37"/>
      <c r="F476" s="37"/>
      <c r="G476" s="37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 ht="11.25" customHeight="1">
      <c r="A477" s="29"/>
      <c r="B477" s="37"/>
      <c r="C477" s="29"/>
      <c r="D477" s="29"/>
      <c r="E477" s="37"/>
      <c r="F477" s="37"/>
      <c r="G477" s="37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 ht="11.25" customHeight="1">
      <c r="A478" s="29"/>
      <c r="B478" s="37"/>
      <c r="C478" s="29"/>
      <c r="D478" s="29"/>
      <c r="E478" s="37"/>
      <c r="F478" s="37"/>
      <c r="G478" s="37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 ht="11.25" customHeight="1">
      <c r="A479" s="29"/>
      <c r="B479" s="37"/>
      <c r="C479" s="29"/>
      <c r="D479" s="29"/>
      <c r="E479" s="37"/>
      <c r="F479" s="37"/>
      <c r="G479" s="37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 ht="11.25" customHeight="1">
      <c r="A480" s="29"/>
      <c r="B480" s="37"/>
      <c r="C480" s="29"/>
      <c r="D480" s="29"/>
      <c r="E480" s="37"/>
      <c r="F480" s="37"/>
      <c r="G480" s="37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 ht="11.25" customHeight="1">
      <c r="A481" s="29"/>
      <c r="B481" s="37"/>
      <c r="C481" s="29"/>
      <c r="D481" s="29"/>
      <c r="E481" s="37"/>
      <c r="F481" s="37"/>
      <c r="G481" s="37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 ht="11.25" customHeight="1">
      <c r="A482" s="29"/>
      <c r="B482" s="37"/>
      <c r="C482" s="29"/>
      <c r="D482" s="29"/>
      <c r="E482" s="37"/>
      <c r="F482" s="37"/>
      <c r="G482" s="37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 ht="11.25" customHeight="1">
      <c r="A483" s="29"/>
      <c r="B483" s="37"/>
      <c r="C483" s="29"/>
      <c r="D483" s="29"/>
      <c r="E483" s="37"/>
      <c r="F483" s="37"/>
      <c r="G483" s="37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 ht="11.25" customHeight="1">
      <c r="A484" s="29"/>
      <c r="B484" s="37"/>
      <c r="C484" s="29"/>
      <c r="D484" s="29"/>
      <c r="E484" s="37"/>
      <c r="F484" s="37"/>
      <c r="G484" s="37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 ht="11.25" customHeight="1">
      <c r="A485" s="29"/>
      <c r="B485" s="37"/>
      <c r="C485" s="29"/>
      <c r="D485" s="29"/>
      <c r="E485" s="37"/>
      <c r="F485" s="37"/>
      <c r="G485" s="37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 ht="11.25" customHeight="1">
      <c r="A486" s="29"/>
      <c r="B486" s="37"/>
      <c r="C486" s="29"/>
      <c r="D486" s="29"/>
      <c r="E486" s="37"/>
      <c r="F486" s="37"/>
      <c r="G486" s="37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 ht="11.25" customHeight="1">
      <c r="A487" s="29"/>
      <c r="B487" s="37"/>
      <c r="C487" s="29"/>
      <c r="D487" s="29"/>
      <c r="E487" s="37"/>
      <c r="F487" s="37"/>
      <c r="G487" s="37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 ht="11.25" customHeight="1">
      <c r="A488" s="29"/>
      <c r="B488" s="37"/>
      <c r="C488" s="29"/>
      <c r="D488" s="29"/>
      <c r="E488" s="37"/>
      <c r="F488" s="37"/>
      <c r="G488" s="37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 ht="11.25" customHeight="1">
      <c r="A489" s="29"/>
      <c r="B489" s="37"/>
      <c r="C489" s="29"/>
      <c r="D489" s="29"/>
      <c r="E489" s="37"/>
      <c r="F489" s="37"/>
      <c r="G489" s="37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 ht="11.25" customHeight="1">
      <c r="A490" s="29"/>
      <c r="B490" s="37"/>
      <c r="C490" s="29"/>
      <c r="D490" s="29"/>
      <c r="E490" s="37"/>
      <c r="F490" s="37"/>
      <c r="G490" s="37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 ht="11.25" customHeight="1">
      <c r="A491" s="29"/>
      <c r="B491" s="37"/>
      <c r="C491" s="29"/>
      <c r="D491" s="29"/>
      <c r="E491" s="37"/>
      <c r="F491" s="37"/>
      <c r="G491" s="37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 ht="11.25" customHeight="1">
      <c r="A492" s="29"/>
      <c r="B492" s="37"/>
      <c r="C492" s="29"/>
      <c r="D492" s="29"/>
      <c r="E492" s="37"/>
      <c r="F492" s="37"/>
      <c r="G492" s="37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 ht="11.25" customHeight="1">
      <c r="A493" s="29"/>
      <c r="B493" s="37"/>
      <c r="C493" s="29"/>
      <c r="D493" s="29"/>
      <c r="E493" s="37"/>
      <c r="F493" s="37"/>
      <c r="G493" s="37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 ht="11.25" customHeight="1">
      <c r="A494" s="29"/>
      <c r="B494" s="37"/>
      <c r="C494" s="29"/>
      <c r="D494" s="29"/>
      <c r="E494" s="37"/>
      <c r="F494" s="37"/>
      <c r="G494" s="37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 ht="11.25" customHeight="1">
      <c r="A495" s="29"/>
      <c r="B495" s="37"/>
      <c r="C495" s="29"/>
      <c r="D495" s="29"/>
      <c r="E495" s="37"/>
      <c r="F495" s="37"/>
      <c r="G495" s="37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 ht="11.25" customHeight="1">
      <c r="A496" s="29"/>
      <c r="B496" s="37"/>
      <c r="C496" s="29"/>
      <c r="D496" s="29"/>
      <c r="E496" s="37"/>
      <c r="F496" s="37"/>
      <c r="G496" s="37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 ht="11.25" customHeight="1">
      <c r="A497" s="29"/>
      <c r="B497" s="37"/>
      <c r="C497" s="29"/>
      <c r="D497" s="29"/>
      <c r="E497" s="37"/>
      <c r="F497" s="37"/>
      <c r="G497" s="37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 ht="11.25" customHeight="1">
      <c r="A498" s="29"/>
      <c r="B498" s="37"/>
      <c r="C498" s="29"/>
      <c r="D498" s="29"/>
      <c r="E498" s="37"/>
      <c r="F498" s="37"/>
      <c r="G498" s="37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 ht="11.25" customHeight="1">
      <c r="A499" s="29"/>
      <c r="B499" s="37"/>
      <c r="C499" s="29"/>
      <c r="D499" s="29"/>
      <c r="E499" s="37"/>
      <c r="F499" s="37"/>
      <c r="G499" s="37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 ht="11.25" customHeight="1">
      <c r="A500" s="29"/>
      <c r="B500" s="37"/>
      <c r="C500" s="29"/>
      <c r="D500" s="29"/>
      <c r="E500" s="37"/>
      <c r="F500" s="37"/>
      <c r="G500" s="37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 ht="11.25" customHeight="1">
      <c r="A501" s="29"/>
      <c r="B501" s="37"/>
      <c r="C501" s="29"/>
      <c r="D501" s="29"/>
      <c r="E501" s="37"/>
      <c r="F501" s="37"/>
      <c r="G501" s="37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 ht="11.25" customHeight="1">
      <c r="A502" s="29"/>
      <c r="B502" s="37"/>
      <c r="C502" s="29"/>
      <c r="D502" s="29"/>
      <c r="E502" s="37"/>
      <c r="F502" s="37"/>
      <c r="G502" s="37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 ht="11.25" customHeight="1">
      <c r="A503" s="29"/>
      <c r="B503" s="37"/>
      <c r="C503" s="29"/>
      <c r="D503" s="29"/>
      <c r="E503" s="37"/>
      <c r="F503" s="37"/>
      <c r="G503" s="37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 ht="11.25" customHeight="1">
      <c r="A504" s="29"/>
      <c r="B504" s="37"/>
      <c r="C504" s="29"/>
      <c r="D504" s="29"/>
      <c r="E504" s="37"/>
      <c r="F504" s="37"/>
      <c r="G504" s="37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 ht="11.25" customHeight="1">
      <c r="A505" s="29"/>
      <c r="B505" s="37"/>
      <c r="C505" s="29"/>
      <c r="D505" s="29"/>
      <c r="E505" s="37"/>
      <c r="F505" s="37"/>
      <c r="G505" s="37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 ht="11.25" customHeight="1">
      <c r="A506" s="29"/>
      <c r="B506" s="37"/>
      <c r="C506" s="29"/>
      <c r="D506" s="29"/>
      <c r="E506" s="37"/>
      <c r="F506" s="37"/>
      <c r="G506" s="37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 ht="11.25" customHeight="1">
      <c r="A507" s="29"/>
      <c r="B507" s="37"/>
      <c r="C507" s="29"/>
      <c r="D507" s="29"/>
      <c r="E507" s="37"/>
      <c r="F507" s="37"/>
      <c r="G507" s="37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 ht="11.25" customHeight="1">
      <c r="A508" s="29"/>
      <c r="B508" s="37"/>
      <c r="C508" s="29"/>
      <c r="D508" s="29"/>
      <c r="E508" s="37"/>
      <c r="F508" s="37"/>
      <c r="G508" s="37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 ht="11.25" customHeight="1">
      <c r="A509" s="29"/>
      <c r="B509" s="37"/>
      <c r="C509" s="29"/>
      <c r="D509" s="29"/>
      <c r="E509" s="37"/>
      <c r="F509" s="37"/>
      <c r="G509" s="37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 ht="11.25" customHeight="1">
      <c r="A510" s="29"/>
      <c r="B510" s="37"/>
      <c r="C510" s="29"/>
      <c r="D510" s="29"/>
      <c r="E510" s="37"/>
      <c r="F510" s="37"/>
      <c r="G510" s="37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 ht="11.25" customHeight="1">
      <c r="A511" s="29"/>
      <c r="B511" s="37"/>
      <c r="C511" s="29"/>
      <c r="D511" s="29"/>
      <c r="E511" s="37"/>
      <c r="F511" s="37"/>
      <c r="G511" s="37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 ht="11.25" customHeight="1">
      <c r="A512" s="29"/>
      <c r="B512" s="37"/>
      <c r="C512" s="29"/>
      <c r="D512" s="29"/>
      <c r="E512" s="37"/>
      <c r="F512" s="37"/>
      <c r="G512" s="37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 ht="11.25" customHeight="1">
      <c r="A513" s="29"/>
      <c r="B513" s="37"/>
      <c r="C513" s="29"/>
      <c r="D513" s="29"/>
      <c r="E513" s="37"/>
      <c r="F513" s="37"/>
      <c r="G513" s="37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 ht="11.25" customHeight="1">
      <c r="A514" s="29"/>
      <c r="B514" s="37"/>
      <c r="C514" s="29"/>
      <c r="D514" s="29"/>
      <c r="E514" s="37"/>
      <c r="F514" s="37"/>
      <c r="G514" s="37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 ht="11.25" customHeight="1">
      <c r="A515" s="29"/>
      <c r="B515" s="37"/>
      <c r="C515" s="29"/>
      <c r="D515" s="29"/>
      <c r="E515" s="37"/>
      <c r="F515" s="37"/>
      <c r="G515" s="37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 ht="11.25" customHeight="1">
      <c r="A516" s="29"/>
      <c r="B516" s="37"/>
      <c r="C516" s="29"/>
      <c r="D516" s="29"/>
      <c r="E516" s="37"/>
      <c r="F516" s="37"/>
      <c r="G516" s="37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 ht="11.25" customHeight="1">
      <c r="A517" s="29"/>
      <c r="B517" s="37"/>
      <c r="C517" s="29"/>
      <c r="D517" s="29"/>
      <c r="E517" s="37"/>
      <c r="F517" s="37"/>
      <c r="G517" s="37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 ht="11.25" customHeight="1">
      <c r="A518" s="29"/>
      <c r="B518" s="37"/>
      <c r="C518" s="29"/>
      <c r="D518" s="29"/>
      <c r="E518" s="37"/>
      <c r="F518" s="37"/>
      <c r="G518" s="37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 ht="11.25" customHeight="1">
      <c r="A519" s="29"/>
      <c r="B519" s="37"/>
      <c r="C519" s="29"/>
      <c r="D519" s="29"/>
      <c r="E519" s="37"/>
      <c r="F519" s="37"/>
      <c r="G519" s="37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 ht="11.25" customHeight="1">
      <c r="A520" s="29"/>
      <c r="B520" s="37"/>
      <c r="C520" s="29"/>
      <c r="D520" s="29"/>
      <c r="E520" s="37"/>
      <c r="F520" s="37"/>
      <c r="G520" s="37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 ht="11.25" customHeight="1">
      <c r="A521" s="29"/>
      <c r="B521" s="37"/>
      <c r="C521" s="29"/>
      <c r="D521" s="29"/>
      <c r="E521" s="37"/>
      <c r="F521" s="37"/>
      <c r="G521" s="37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 ht="11.25" customHeight="1">
      <c r="A522" s="29"/>
      <c r="B522" s="37"/>
      <c r="C522" s="29"/>
      <c r="D522" s="29"/>
      <c r="E522" s="37"/>
      <c r="F522" s="37"/>
      <c r="G522" s="37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 ht="11.25" customHeight="1">
      <c r="A523" s="29"/>
      <c r="B523" s="37"/>
      <c r="C523" s="29"/>
      <c r="D523" s="29"/>
      <c r="E523" s="37"/>
      <c r="F523" s="37"/>
      <c r="G523" s="37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 ht="11.25" customHeight="1">
      <c r="A524" s="29"/>
      <c r="B524" s="37"/>
      <c r="C524" s="29"/>
      <c r="D524" s="29"/>
      <c r="E524" s="37"/>
      <c r="F524" s="37"/>
      <c r="G524" s="37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 ht="11.25" customHeight="1">
      <c r="A525" s="29"/>
      <c r="B525" s="37"/>
      <c r="C525" s="29"/>
      <c r="D525" s="29"/>
      <c r="E525" s="37"/>
      <c r="F525" s="37"/>
      <c r="G525" s="37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 ht="11.25" customHeight="1">
      <c r="A526" s="29"/>
      <c r="B526" s="37"/>
      <c r="C526" s="29"/>
      <c r="D526" s="29"/>
      <c r="E526" s="37"/>
      <c r="F526" s="37"/>
      <c r="G526" s="37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 ht="11.25" customHeight="1">
      <c r="A527" s="29"/>
      <c r="B527" s="37"/>
      <c r="C527" s="29"/>
      <c r="D527" s="29"/>
      <c r="E527" s="37"/>
      <c r="F527" s="37"/>
      <c r="G527" s="37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 ht="11.25" customHeight="1">
      <c r="A528" s="29"/>
      <c r="B528" s="37"/>
      <c r="C528" s="29"/>
      <c r="D528" s="29"/>
      <c r="E528" s="37"/>
      <c r="F528" s="37"/>
      <c r="G528" s="37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 ht="11.25" customHeight="1">
      <c r="A529" s="29"/>
      <c r="B529" s="37"/>
      <c r="C529" s="29"/>
      <c r="D529" s="29"/>
      <c r="E529" s="37"/>
      <c r="F529" s="37"/>
      <c r="G529" s="37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 ht="11.25" customHeight="1">
      <c r="A530" s="29"/>
      <c r="B530" s="37"/>
      <c r="C530" s="29"/>
      <c r="D530" s="29"/>
      <c r="E530" s="37"/>
      <c r="F530" s="37"/>
      <c r="G530" s="37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 ht="11.25" customHeight="1">
      <c r="A531" s="29"/>
      <c r="B531" s="37"/>
      <c r="C531" s="29"/>
      <c r="D531" s="29"/>
      <c r="E531" s="37"/>
      <c r="F531" s="37"/>
      <c r="G531" s="37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 ht="11.25" customHeight="1">
      <c r="A532" s="29"/>
      <c r="B532" s="37"/>
      <c r="C532" s="29"/>
      <c r="D532" s="29"/>
      <c r="E532" s="37"/>
      <c r="F532" s="37"/>
      <c r="G532" s="37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 ht="11.25" customHeight="1">
      <c r="A533" s="29"/>
      <c r="B533" s="37"/>
      <c r="C533" s="29"/>
      <c r="D533" s="29"/>
      <c r="E533" s="37"/>
      <c r="F533" s="37"/>
      <c r="G533" s="37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 ht="11.25" customHeight="1">
      <c r="A534" s="29"/>
      <c r="B534" s="37"/>
      <c r="C534" s="29"/>
      <c r="D534" s="29"/>
      <c r="E534" s="37"/>
      <c r="F534" s="37"/>
      <c r="G534" s="37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 ht="11.25" customHeight="1">
      <c r="A535" s="29"/>
      <c r="B535" s="37"/>
      <c r="C535" s="29"/>
      <c r="D535" s="29"/>
      <c r="E535" s="37"/>
      <c r="F535" s="37"/>
      <c r="G535" s="37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 ht="11.25" customHeight="1">
      <c r="A536" s="29"/>
      <c r="B536" s="37"/>
      <c r="C536" s="29"/>
      <c r="D536" s="29"/>
      <c r="E536" s="37"/>
      <c r="F536" s="37"/>
      <c r="G536" s="37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 ht="11.25" customHeight="1">
      <c r="A537" s="29"/>
      <c r="B537" s="37"/>
      <c r="C537" s="29"/>
      <c r="D537" s="29"/>
      <c r="E537" s="37"/>
      <c r="F537" s="37"/>
      <c r="G537" s="37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 ht="11.25" customHeight="1">
      <c r="A538" s="29"/>
      <c r="B538" s="37"/>
      <c r="C538" s="29"/>
      <c r="D538" s="29"/>
      <c r="E538" s="37"/>
      <c r="F538" s="37"/>
      <c r="G538" s="37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 ht="11.25" customHeight="1">
      <c r="A539" s="29"/>
      <c r="B539" s="37"/>
      <c r="C539" s="29"/>
      <c r="D539" s="29"/>
      <c r="E539" s="37"/>
      <c r="F539" s="37"/>
      <c r="G539" s="37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 ht="11.25" customHeight="1">
      <c r="A540" s="29"/>
      <c r="B540" s="37"/>
      <c r="C540" s="29"/>
      <c r="D540" s="29"/>
      <c r="E540" s="37"/>
      <c r="F540" s="37"/>
      <c r="G540" s="37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 ht="11.25" customHeight="1">
      <c r="A541" s="29"/>
      <c r="B541" s="37"/>
      <c r="C541" s="29"/>
      <c r="D541" s="29"/>
      <c r="E541" s="37"/>
      <c r="F541" s="37"/>
      <c r="G541" s="37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 ht="11.25" customHeight="1">
      <c r="A542" s="29"/>
      <c r="B542" s="37"/>
      <c r="C542" s="29"/>
      <c r="D542" s="29"/>
      <c r="E542" s="37"/>
      <c r="F542" s="37"/>
      <c r="G542" s="37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 ht="11.25" customHeight="1">
      <c r="A543" s="29"/>
      <c r="B543" s="37"/>
      <c r="C543" s="29"/>
      <c r="D543" s="29"/>
      <c r="E543" s="37"/>
      <c r="F543" s="37"/>
      <c r="G543" s="37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 ht="11.25" customHeight="1">
      <c r="A544" s="29"/>
      <c r="B544" s="37"/>
      <c r="C544" s="29"/>
      <c r="D544" s="29"/>
      <c r="E544" s="37"/>
      <c r="F544" s="37"/>
      <c r="G544" s="37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 ht="11.25" customHeight="1">
      <c r="A545" s="29"/>
      <c r="B545" s="37"/>
      <c r="C545" s="29"/>
      <c r="D545" s="29"/>
      <c r="E545" s="37"/>
      <c r="F545" s="37"/>
      <c r="G545" s="37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 ht="11.25" customHeight="1">
      <c r="A546" s="29"/>
      <c r="B546" s="37"/>
      <c r="C546" s="29"/>
      <c r="D546" s="29"/>
      <c r="E546" s="37"/>
      <c r="F546" s="37"/>
      <c r="G546" s="37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 ht="11.25" customHeight="1">
      <c r="A547" s="29"/>
      <c r="B547" s="37"/>
      <c r="C547" s="29"/>
      <c r="D547" s="29"/>
      <c r="E547" s="37"/>
      <c r="F547" s="37"/>
      <c r="G547" s="37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 ht="11.25" customHeight="1">
      <c r="A548" s="29"/>
      <c r="B548" s="37"/>
      <c r="C548" s="29"/>
      <c r="D548" s="29"/>
      <c r="E548" s="37"/>
      <c r="F548" s="37"/>
      <c r="G548" s="37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 ht="11.25" customHeight="1">
      <c r="A549" s="29"/>
      <c r="B549" s="37"/>
      <c r="C549" s="29"/>
      <c r="D549" s="29"/>
      <c r="E549" s="37"/>
      <c r="F549" s="37"/>
      <c r="G549" s="37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 ht="11.25" customHeight="1">
      <c r="A550" s="29"/>
      <c r="B550" s="37"/>
      <c r="C550" s="29"/>
      <c r="D550" s="29"/>
      <c r="E550" s="37"/>
      <c r="F550" s="37"/>
      <c r="G550" s="37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 ht="11.25" customHeight="1">
      <c r="A551" s="29"/>
      <c r="B551" s="37"/>
      <c r="C551" s="29"/>
      <c r="D551" s="29"/>
      <c r="E551" s="37"/>
      <c r="F551" s="37"/>
      <c r="G551" s="37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 ht="11.25" customHeight="1">
      <c r="A552" s="29"/>
      <c r="B552" s="37"/>
      <c r="C552" s="29"/>
      <c r="D552" s="29"/>
      <c r="E552" s="37"/>
      <c r="F552" s="37"/>
      <c r="G552" s="37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 ht="11.25" customHeight="1">
      <c r="A553" s="29"/>
      <c r="B553" s="37"/>
      <c r="C553" s="29"/>
      <c r="D553" s="29"/>
      <c r="E553" s="37"/>
      <c r="F553" s="37"/>
      <c r="G553" s="37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 ht="11.25" customHeight="1">
      <c r="A554" s="29"/>
      <c r="B554" s="37"/>
      <c r="C554" s="29"/>
      <c r="D554" s="29"/>
      <c r="E554" s="37"/>
      <c r="F554" s="37"/>
      <c r="G554" s="37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 ht="11.25" customHeight="1">
      <c r="A555" s="29"/>
      <c r="B555" s="37"/>
      <c r="C555" s="29"/>
      <c r="D555" s="29"/>
      <c r="E555" s="37"/>
      <c r="F555" s="37"/>
      <c r="G555" s="37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 ht="11.25" customHeight="1">
      <c r="A556" s="29"/>
      <c r="B556" s="37"/>
      <c r="C556" s="29"/>
      <c r="D556" s="29"/>
      <c r="E556" s="37"/>
      <c r="F556" s="37"/>
      <c r="G556" s="37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 ht="11.25" customHeight="1">
      <c r="A557" s="29"/>
      <c r="B557" s="37"/>
      <c r="C557" s="29"/>
      <c r="D557" s="29"/>
      <c r="E557" s="37"/>
      <c r="F557" s="37"/>
      <c r="G557" s="37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 ht="11.25" customHeight="1">
      <c r="A558" s="29"/>
      <c r="B558" s="37"/>
      <c r="C558" s="29"/>
      <c r="D558" s="29"/>
      <c r="E558" s="37"/>
      <c r="F558" s="37"/>
      <c r="G558" s="37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 ht="11.25" customHeight="1">
      <c r="A559" s="29"/>
      <c r="B559" s="37"/>
      <c r="C559" s="29"/>
      <c r="D559" s="29"/>
      <c r="E559" s="37"/>
      <c r="F559" s="37"/>
      <c r="G559" s="37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 ht="11.25" customHeight="1">
      <c r="A560" s="29"/>
      <c r="B560" s="37"/>
      <c r="C560" s="29"/>
      <c r="D560" s="29"/>
      <c r="E560" s="37"/>
      <c r="F560" s="37"/>
      <c r="G560" s="37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 ht="11.25" customHeight="1">
      <c r="A561" s="29"/>
      <c r="B561" s="37"/>
      <c r="C561" s="29"/>
      <c r="D561" s="29"/>
      <c r="E561" s="37"/>
      <c r="F561" s="37"/>
      <c r="G561" s="37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 ht="11.25" customHeight="1">
      <c r="A562" s="29"/>
      <c r="B562" s="37"/>
      <c r="C562" s="29"/>
      <c r="D562" s="29"/>
      <c r="E562" s="37"/>
      <c r="F562" s="37"/>
      <c r="G562" s="37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 ht="11.25" customHeight="1">
      <c r="A563" s="29"/>
      <c r="B563" s="37"/>
      <c r="C563" s="29"/>
      <c r="D563" s="29"/>
      <c r="E563" s="37"/>
      <c r="F563" s="37"/>
      <c r="G563" s="37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 ht="11.25" customHeight="1">
      <c r="A564" s="29"/>
      <c r="B564" s="37"/>
      <c r="C564" s="29"/>
      <c r="D564" s="29"/>
      <c r="E564" s="37"/>
      <c r="F564" s="37"/>
      <c r="G564" s="37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 ht="11.25" customHeight="1">
      <c r="A565" s="29"/>
      <c r="B565" s="37"/>
      <c r="C565" s="29"/>
      <c r="D565" s="29"/>
      <c r="E565" s="37"/>
      <c r="F565" s="37"/>
      <c r="G565" s="37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 ht="11.25" customHeight="1">
      <c r="A566" s="29"/>
      <c r="B566" s="37"/>
      <c r="C566" s="29"/>
      <c r="D566" s="29"/>
      <c r="E566" s="37"/>
      <c r="F566" s="37"/>
      <c r="G566" s="37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 ht="11.25" customHeight="1">
      <c r="A567" s="29"/>
      <c r="B567" s="37"/>
      <c r="C567" s="29"/>
      <c r="D567" s="29"/>
      <c r="E567" s="37"/>
      <c r="F567" s="37"/>
      <c r="G567" s="37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 ht="11.25" customHeight="1">
      <c r="A568" s="29"/>
      <c r="B568" s="37"/>
      <c r="C568" s="29"/>
      <c r="D568" s="29"/>
      <c r="E568" s="37"/>
      <c r="F568" s="37"/>
      <c r="G568" s="37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 ht="11.25" customHeight="1">
      <c r="A569" s="29"/>
      <c r="B569" s="37"/>
      <c r="C569" s="29"/>
      <c r="D569" s="29"/>
      <c r="E569" s="37"/>
      <c r="F569" s="37"/>
      <c r="G569" s="37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 ht="11.25" customHeight="1">
      <c r="A570" s="29"/>
      <c r="B570" s="37"/>
      <c r="C570" s="29"/>
      <c r="D570" s="29"/>
      <c r="E570" s="37"/>
      <c r="F570" s="37"/>
      <c r="G570" s="37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 ht="11.25" customHeight="1">
      <c r="A571" s="29"/>
      <c r="B571" s="37"/>
      <c r="C571" s="29"/>
      <c r="D571" s="29"/>
      <c r="E571" s="37"/>
      <c r="F571" s="37"/>
      <c r="G571" s="37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 ht="11.25" customHeight="1">
      <c r="A572" s="29"/>
      <c r="B572" s="37"/>
      <c r="C572" s="29"/>
      <c r="D572" s="29"/>
      <c r="E572" s="37"/>
      <c r="F572" s="37"/>
      <c r="G572" s="37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 ht="11.25" customHeight="1">
      <c r="A573" s="29"/>
      <c r="B573" s="37"/>
      <c r="C573" s="29"/>
      <c r="D573" s="29"/>
      <c r="E573" s="37"/>
      <c r="F573" s="37"/>
      <c r="G573" s="37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 ht="11.25" customHeight="1">
      <c r="A574" s="29"/>
      <c r="B574" s="37"/>
      <c r="C574" s="29"/>
      <c r="D574" s="29"/>
      <c r="E574" s="37"/>
      <c r="F574" s="37"/>
      <c r="G574" s="37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 ht="11.25" customHeight="1">
      <c r="A575" s="29"/>
      <c r="B575" s="37"/>
      <c r="C575" s="29"/>
      <c r="D575" s="29"/>
      <c r="E575" s="37"/>
      <c r="F575" s="37"/>
      <c r="G575" s="37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 ht="11.25" customHeight="1">
      <c r="A576" s="29"/>
      <c r="B576" s="37"/>
      <c r="C576" s="29"/>
      <c r="D576" s="29"/>
      <c r="E576" s="37"/>
      <c r="F576" s="37"/>
      <c r="G576" s="37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 ht="11.25" customHeight="1">
      <c r="A577" s="29"/>
      <c r="B577" s="37"/>
      <c r="C577" s="29"/>
      <c r="D577" s="29"/>
      <c r="E577" s="37"/>
      <c r="F577" s="37"/>
      <c r="G577" s="37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 ht="11.25" customHeight="1">
      <c r="A578" s="29"/>
      <c r="B578" s="37"/>
      <c r="C578" s="29"/>
      <c r="D578" s="29"/>
      <c r="E578" s="37"/>
      <c r="F578" s="37"/>
      <c r="G578" s="37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 ht="11.25" customHeight="1">
      <c r="A579" s="29"/>
      <c r="B579" s="37"/>
      <c r="C579" s="29"/>
      <c r="D579" s="29"/>
      <c r="E579" s="37"/>
      <c r="F579" s="37"/>
      <c r="G579" s="37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 ht="11.25" customHeight="1">
      <c r="A580" s="29"/>
      <c r="B580" s="37"/>
      <c r="C580" s="29"/>
      <c r="D580" s="29"/>
      <c r="E580" s="37"/>
      <c r="F580" s="37"/>
      <c r="G580" s="37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 ht="11.25" customHeight="1">
      <c r="A581" s="29"/>
      <c r="B581" s="37"/>
      <c r="C581" s="29"/>
      <c r="D581" s="29"/>
      <c r="E581" s="37"/>
      <c r="F581" s="37"/>
      <c r="G581" s="37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 ht="11.25" customHeight="1">
      <c r="A582" s="29"/>
      <c r="B582" s="37"/>
      <c r="C582" s="29"/>
      <c r="D582" s="29"/>
      <c r="E582" s="37"/>
      <c r="F582" s="37"/>
      <c r="G582" s="37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 ht="11.25" customHeight="1">
      <c r="A583" s="29"/>
      <c r="B583" s="37"/>
      <c r="C583" s="29"/>
      <c r="D583" s="29"/>
      <c r="E583" s="37"/>
      <c r="F583" s="37"/>
      <c r="G583" s="37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 ht="11.25" customHeight="1">
      <c r="A584" s="29"/>
      <c r="B584" s="37"/>
      <c r="C584" s="29"/>
      <c r="D584" s="29"/>
      <c r="E584" s="37"/>
      <c r="F584" s="37"/>
      <c r="G584" s="37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 ht="11.25" customHeight="1">
      <c r="A585" s="29"/>
      <c r="B585" s="37"/>
      <c r="C585" s="29"/>
      <c r="D585" s="29"/>
      <c r="E585" s="37"/>
      <c r="F585" s="37"/>
      <c r="G585" s="37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 ht="11.25" customHeight="1">
      <c r="A586" s="29"/>
      <c r="B586" s="37"/>
      <c r="C586" s="29"/>
      <c r="D586" s="29"/>
      <c r="E586" s="37"/>
      <c r="F586" s="37"/>
      <c r="G586" s="37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 ht="11.25" customHeight="1">
      <c r="A587" s="29"/>
      <c r="B587" s="37"/>
      <c r="C587" s="29"/>
      <c r="D587" s="29"/>
      <c r="E587" s="37"/>
      <c r="F587" s="37"/>
      <c r="G587" s="37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 ht="11.25" customHeight="1">
      <c r="A588" s="29"/>
      <c r="B588" s="37"/>
      <c r="C588" s="29"/>
      <c r="D588" s="29"/>
      <c r="E588" s="37"/>
      <c r="F588" s="37"/>
      <c r="G588" s="37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 ht="11.25" customHeight="1">
      <c r="A589" s="29"/>
      <c r="B589" s="37"/>
      <c r="C589" s="29"/>
      <c r="D589" s="29"/>
      <c r="E589" s="37"/>
      <c r="F589" s="37"/>
      <c r="G589" s="37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 ht="11.25" customHeight="1">
      <c r="A590" s="29"/>
      <c r="B590" s="37"/>
      <c r="C590" s="29"/>
      <c r="D590" s="29"/>
      <c r="E590" s="37"/>
      <c r="F590" s="37"/>
      <c r="G590" s="37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 ht="11.25" customHeight="1">
      <c r="A591" s="29"/>
      <c r="B591" s="37"/>
      <c r="C591" s="29"/>
      <c r="D591" s="29"/>
      <c r="E591" s="37"/>
      <c r="F591" s="37"/>
      <c r="G591" s="37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 ht="11.25" customHeight="1">
      <c r="A592" s="29"/>
      <c r="B592" s="37"/>
      <c r="C592" s="29"/>
      <c r="D592" s="29"/>
      <c r="E592" s="37"/>
      <c r="F592" s="37"/>
      <c r="G592" s="37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 ht="11.25" customHeight="1">
      <c r="A593" s="29"/>
      <c r="B593" s="37"/>
      <c r="C593" s="29"/>
      <c r="D593" s="29"/>
      <c r="E593" s="37"/>
      <c r="F593" s="37"/>
      <c r="G593" s="37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 ht="11.25" customHeight="1">
      <c r="A594" s="29"/>
      <c r="B594" s="37"/>
      <c r="C594" s="29"/>
      <c r="D594" s="29"/>
      <c r="E594" s="37"/>
      <c r="F594" s="37"/>
      <c r="G594" s="37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 ht="11.25" customHeight="1">
      <c r="A595" s="29"/>
      <c r="B595" s="37"/>
      <c r="C595" s="29"/>
      <c r="D595" s="29"/>
      <c r="E595" s="37"/>
      <c r="F595" s="37"/>
      <c r="G595" s="37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 ht="11.25" customHeight="1">
      <c r="A596" s="29"/>
      <c r="B596" s="37"/>
      <c r="C596" s="29"/>
      <c r="D596" s="29"/>
      <c r="E596" s="37"/>
      <c r="F596" s="37"/>
      <c r="G596" s="37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 ht="11.25" customHeight="1">
      <c r="A597" s="29"/>
      <c r="B597" s="37"/>
      <c r="C597" s="29"/>
      <c r="D597" s="29"/>
      <c r="E597" s="37"/>
      <c r="F597" s="37"/>
      <c r="G597" s="37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 ht="11.25" customHeight="1">
      <c r="A598" s="29"/>
      <c r="B598" s="37"/>
      <c r="C598" s="29"/>
      <c r="D598" s="29"/>
      <c r="E598" s="37"/>
      <c r="F598" s="37"/>
      <c r="G598" s="37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 ht="11.25" customHeight="1">
      <c r="A599" s="29"/>
      <c r="B599" s="37"/>
      <c r="C599" s="29"/>
      <c r="D599" s="29"/>
      <c r="E599" s="37"/>
      <c r="F599" s="37"/>
      <c r="G599" s="37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 ht="11.25" customHeight="1">
      <c r="A600" s="29"/>
      <c r="B600" s="37"/>
      <c r="C600" s="29"/>
      <c r="D600" s="29"/>
      <c r="E600" s="37"/>
      <c r="F600" s="37"/>
      <c r="G600" s="37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 ht="11.25" customHeight="1">
      <c r="A601" s="29"/>
      <c r="B601" s="37"/>
      <c r="C601" s="29"/>
      <c r="D601" s="29"/>
      <c r="E601" s="37"/>
      <c r="F601" s="37"/>
      <c r="G601" s="37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 ht="11.25" customHeight="1">
      <c r="A602" s="29"/>
      <c r="B602" s="37"/>
      <c r="C602" s="29"/>
      <c r="D602" s="29"/>
      <c r="E602" s="37"/>
      <c r="F602" s="37"/>
      <c r="G602" s="37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 ht="11.25" customHeight="1">
      <c r="A603" s="29"/>
      <c r="B603" s="37"/>
      <c r="C603" s="29"/>
      <c r="D603" s="29"/>
      <c r="E603" s="37"/>
      <c r="F603" s="37"/>
      <c r="G603" s="37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 ht="11.25" customHeight="1">
      <c r="A604" s="29"/>
      <c r="B604" s="37"/>
      <c r="C604" s="29"/>
      <c r="D604" s="29"/>
      <c r="E604" s="37"/>
      <c r="F604" s="37"/>
      <c r="G604" s="37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 ht="11.25" customHeight="1">
      <c r="A605" s="29"/>
      <c r="B605" s="37"/>
      <c r="C605" s="29"/>
      <c r="D605" s="29"/>
      <c r="E605" s="37"/>
      <c r="F605" s="37"/>
      <c r="G605" s="37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 ht="11.25" customHeight="1">
      <c r="A606" s="29"/>
      <c r="B606" s="37"/>
      <c r="C606" s="29"/>
      <c r="D606" s="29"/>
      <c r="E606" s="37"/>
      <c r="F606" s="37"/>
      <c r="G606" s="37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 ht="11.25" customHeight="1">
      <c r="A607" s="29"/>
      <c r="B607" s="37"/>
      <c r="C607" s="29"/>
      <c r="D607" s="29"/>
      <c r="E607" s="37"/>
      <c r="F607" s="37"/>
      <c r="G607" s="37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 ht="11.25" customHeight="1">
      <c r="A608" s="29"/>
      <c r="B608" s="37"/>
      <c r="C608" s="29"/>
      <c r="D608" s="29"/>
      <c r="E608" s="37"/>
      <c r="F608" s="37"/>
      <c r="G608" s="37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 ht="11.25" customHeight="1">
      <c r="A609" s="29"/>
      <c r="B609" s="37"/>
      <c r="C609" s="29"/>
      <c r="D609" s="29"/>
      <c r="E609" s="37"/>
      <c r="F609" s="37"/>
      <c r="G609" s="37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 ht="11.25" customHeight="1">
      <c r="A610" s="29"/>
      <c r="B610" s="37"/>
      <c r="C610" s="29"/>
      <c r="D610" s="29"/>
      <c r="E610" s="37"/>
      <c r="F610" s="37"/>
      <c r="G610" s="37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 ht="11.25" customHeight="1">
      <c r="A611" s="29"/>
      <c r="B611" s="37"/>
      <c r="C611" s="29"/>
      <c r="D611" s="29"/>
      <c r="E611" s="37"/>
      <c r="F611" s="37"/>
      <c r="G611" s="37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 ht="11.25" customHeight="1">
      <c r="A612" s="29"/>
      <c r="B612" s="37"/>
      <c r="C612" s="29"/>
      <c r="D612" s="29"/>
      <c r="E612" s="37"/>
      <c r="F612" s="37"/>
      <c r="G612" s="37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 ht="11.25" customHeight="1">
      <c r="A613" s="29"/>
      <c r="B613" s="37"/>
      <c r="C613" s="29"/>
      <c r="D613" s="29"/>
      <c r="E613" s="37"/>
      <c r="F613" s="37"/>
      <c r="G613" s="37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 ht="11.25" customHeight="1">
      <c r="A614" s="29"/>
      <c r="B614" s="37"/>
      <c r="C614" s="29"/>
      <c r="D614" s="29"/>
      <c r="E614" s="37"/>
      <c r="F614" s="37"/>
      <c r="G614" s="37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 ht="11.25" customHeight="1">
      <c r="A615" s="29"/>
      <c r="B615" s="37"/>
      <c r="C615" s="29"/>
      <c r="D615" s="29"/>
      <c r="E615" s="37"/>
      <c r="F615" s="37"/>
      <c r="G615" s="37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 ht="11.25" customHeight="1">
      <c r="A616" s="29"/>
      <c r="B616" s="37"/>
      <c r="C616" s="29"/>
      <c r="D616" s="29"/>
      <c r="E616" s="37"/>
      <c r="F616" s="37"/>
      <c r="G616" s="37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 ht="11.25" customHeight="1">
      <c r="A617" s="29"/>
      <c r="B617" s="37"/>
      <c r="C617" s="29"/>
      <c r="D617" s="29"/>
      <c r="E617" s="37"/>
      <c r="F617" s="37"/>
      <c r="G617" s="37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 ht="11.25" customHeight="1">
      <c r="A618" s="29"/>
      <c r="B618" s="37"/>
      <c r="C618" s="29"/>
      <c r="D618" s="29"/>
      <c r="E618" s="37"/>
      <c r="F618" s="37"/>
      <c r="G618" s="37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 ht="11.25" customHeight="1">
      <c r="A619" s="29"/>
      <c r="B619" s="37"/>
      <c r="C619" s="29"/>
      <c r="D619" s="29"/>
      <c r="E619" s="37"/>
      <c r="F619" s="37"/>
      <c r="G619" s="37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 ht="11.25" customHeight="1">
      <c r="A620" s="29"/>
      <c r="B620" s="37"/>
      <c r="C620" s="29"/>
      <c r="D620" s="29"/>
      <c r="E620" s="37"/>
      <c r="F620" s="37"/>
      <c r="G620" s="37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 ht="11.25" customHeight="1">
      <c r="A621" s="29"/>
      <c r="B621" s="37"/>
      <c r="C621" s="29"/>
      <c r="D621" s="29"/>
      <c r="E621" s="37"/>
      <c r="F621" s="37"/>
      <c r="G621" s="37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 ht="11.25" customHeight="1">
      <c r="A622" s="29"/>
      <c r="B622" s="37"/>
      <c r="C622" s="29"/>
      <c r="D622" s="29"/>
      <c r="E622" s="37"/>
      <c r="F622" s="37"/>
      <c r="G622" s="37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 ht="11.25" customHeight="1">
      <c r="A623" s="29"/>
      <c r="B623" s="37"/>
      <c r="C623" s="29"/>
      <c r="D623" s="29"/>
      <c r="E623" s="37"/>
      <c r="F623" s="37"/>
      <c r="G623" s="37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 ht="11.25" customHeight="1">
      <c r="A624" s="29"/>
      <c r="B624" s="37"/>
      <c r="C624" s="29"/>
      <c r="D624" s="29"/>
      <c r="E624" s="37"/>
      <c r="F624" s="37"/>
      <c r="G624" s="37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 ht="11.25" customHeight="1">
      <c r="A625" s="29"/>
      <c r="B625" s="37"/>
      <c r="C625" s="29"/>
      <c r="D625" s="29"/>
      <c r="E625" s="37"/>
      <c r="F625" s="37"/>
      <c r="G625" s="37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 ht="11.25" customHeight="1">
      <c r="A626" s="29"/>
      <c r="B626" s="37"/>
      <c r="C626" s="29"/>
      <c r="D626" s="29"/>
      <c r="E626" s="37"/>
      <c r="F626" s="37"/>
      <c r="G626" s="37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 ht="11.25" customHeight="1">
      <c r="A627" s="29"/>
      <c r="B627" s="37"/>
      <c r="C627" s="29"/>
      <c r="D627" s="29"/>
      <c r="E627" s="37"/>
      <c r="F627" s="37"/>
      <c r="G627" s="37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 ht="11.25" customHeight="1">
      <c r="A628" s="29"/>
      <c r="B628" s="37"/>
      <c r="C628" s="29"/>
      <c r="D628" s="29"/>
      <c r="E628" s="37"/>
      <c r="F628" s="37"/>
      <c r="G628" s="37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 ht="11.25" customHeight="1">
      <c r="A629" s="29"/>
      <c r="B629" s="37"/>
      <c r="C629" s="29"/>
      <c r="D629" s="29"/>
      <c r="E629" s="37"/>
      <c r="F629" s="37"/>
      <c r="G629" s="37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 ht="11.25" customHeight="1">
      <c r="A630" s="29"/>
      <c r="B630" s="37"/>
      <c r="C630" s="29"/>
      <c r="D630" s="29"/>
      <c r="E630" s="37"/>
      <c r="F630" s="37"/>
      <c r="G630" s="37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 ht="11.25" customHeight="1">
      <c r="A631" s="29"/>
      <c r="B631" s="37"/>
      <c r="C631" s="29"/>
      <c r="D631" s="29"/>
      <c r="E631" s="37"/>
      <c r="F631" s="37"/>
      <c r="G631" s="37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 ht="11.25" customHeight="1">
      <c r="A632" s="29"/>
      <c r="B632" s="37"/>
      <c r="C632" s="29"/>
      <c r="D632" s="29"/>
      <c r="E632" s="37"/>
      <c r="F632" s="37"/>
      <c r="G632" s="37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 ht="11.25" customHeight="1">
      <c r="A633" s="29"/>
      <c r="B633" s="37"/>
      <c r="C633" s="29"/>
      <c r="D633" s="29"/>
      <c r="E633" s="37"/>
      <c r="F633" s="37"/>
      <c r="G633" s="37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 ht="11.25" customHeight="1">
      <c r="A634" s="29"/>
      <c r="B634" s="37"/>
      <c r="C634" s="29"/>
      <c r="D634" s="29"/>
      <c r="E634" s="37"/>
      <c r="F634" s="37"/>
      <c r="G634" s="37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 ht="11.25" customHeight="1">
      <c r="A635" s="29"/>
      <c r="B635" s="37"/>
      <c r="C635" s="29"/>
      <c r="D635" s="29"/>
      <c r="E635" s="37"/>
      <c r="F635" s="37"/>
      <c r="G635" s="37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 ht="11.25" customHeight="1">
      <c r="A636" s="29"/>
      <c r="B636" s="37"/>
      <c r="C636" s="29"/>
      <c r="D636" s="29"/>
      <c r="E636" s="37"/>
      <c r="F636" s="37"/>
      <c r="G636" s="37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 ht="11.25" customHeight="1">
      <c r="A637" s="29"/>
      <c r="B637" s="37"/>
      <c r="C637" s="29"/>
      <c r="D637" s="29"/>
      <c r="E637" s="37"/>
      <c r="F637" s="37"/>
      <c r="G637" s="37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 ht="11.25" customHeight="1">
      <c r="A638" s="29"/>
      <c r="B638" s="37"/>
      <c r="C638" s="29"/>
      <c r="D638" s="29"/>
      <c r="E638" s="37"/>
      <c r="F638" s="37"/>
      <c r="G638" s="37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 ht="11.25" customHeight="1">
      <c r="A639" s="29"/>
      <c r="B639" s="37"/>
      <c r="C639" s="29"/>
      <c r="D639" s="29"/>
      <c r="E639" s="37"/>
      <c r="F639" s="37"/>
      <c r="G639" s="37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 ht="11.25" customHeight="1">
      <c r="A640" s="29"/>
      <c r="B640" s="37"/>
      <c r="C640" s="29"/>
      <c r="D640" s="29"/>
      <c r="E640" s="37"/>
      <c r="F640" s="37"/>
      <c r="G640" s="37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 ht="11.25" customHeight="1">
      <c r="A641" s="29"/>
      <c r="B641" s="37"/>
      <c r="C641" s="29"/>
      <c r="D641" s="29"/>
      <c r="E641" s="37"/>
      <c r="F641" s="37"/>
      <c r="G641" s="37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 ht="11.25" customHeight="1">
      <c r="A642" s="29"/>
      <c r="B642" s="37"/>
      <c r="C642" s="29"/>
      <c r="D642" s="29"/>
      <c r="E642" s="37"/>
      <c r="F642" s="37"/>
      <c r="G642" s="37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 ht="11.25" customHeight="1">
      <c r="A643" s="29"/>
      <c r="B643" s="37"/>
      <c r="C643" s="29"/>
      <c r="D643" s="29"/>
      <c r="E643" s="37"/>
      <c r="F643" s="37"/>
      <c r="G643" s="37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 ht="11.25" customHeight="1">
      <c r="A644" s="29"/>
      <c r="B644" s="37"/>
      <c r="C644" s="29"/>
      <c r="D644" s="29"/>
      <c r="E644" s="37"/>
      <c r="F644" s="37"/>
      <c r="G644" s="37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 ht="11.25" customHeight="1">
      <c r="A645" s="29"/>
      <c r="B645" s="37"/>
      <c r="C645" s="29"/>
      <c r="D645" s="29"/>
      <c r="E645" s="37"/>
      <c r="F645" s="37"/>
      <c r="G645" s="37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 ht="11.25" customHeight="1">
      <c r="A646" s="29"/>
      <c r="B646" s="37"/>
      <c r="C646" s="29"/>
      <c r="D646" s="29"/>
      <c r="E646" s="37"/>
      <c r="F646" s="37"/>
      <c r="G646" s="37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 ht="11.25" customHeight="1">
      <c r="A647" s="29"/>
      <c r="B647" s="37"/>
      <c r="C647" s="29"/>
      <c r="D647" s="29"/>
      <c r="E647" s="37"/>
      <c r="F647" s="37"/>
      <c r="G647" s="37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 ht="11.25" customHeight="1">
      <c r="A648" s="29"/>
      <c r="B648" s="37"/>
      <c r="C648" s="29"/>
      <c r="D648" s="29"/>
      <c r="E648" s="37"/>
      <c r="F648" s="37"/>
      <c r="G648" s="37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 ht="11.25" customHeight="1">
      <c r="A649" s="29"/>
      <c r="B649" s="37"/>
      <c r="C649" s="29"/>
      <c r="D649" s="29"/>
      <c r="E649" s="37"/>
      <c r="F649" s="37"/>
      <c r="G649" s="37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 ht="11.25" customHeight="1">
      <c r="A650" s="29"/>
      <c r="B650" s="37"/>
      <c r="C650" s="29"/>
      <c r="D650" s="29"/>
      <c r="E650" s="37"/>
      <c r="F650" s="37"/>
      <c r="G650" s="37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 ht="11.25" customHeight="1">
      <c r="A651" s="29"/>
      <c r="B651" s="37"/>
      <c r="C651" s="29"/>
      <c r="D651" s="29"/>
      <c r="E651" s="37"/>
      <c r="F651" s="37"/>
      <c r="G651" s="37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 ht="11.25" customHeight="1">
      <c r="A652" s="29"/>
      <c r="B652" s="37"/>
      <c r="C652" s="29"/>
      <c r="D652" s="29"/>
      <c r="E652" s="37"/>
      <c r="F652" s="37"/>
      <c r="G652" s="37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 ht="11.25" customHeight="1">
      <c r="A653" s="29"/>
      <c r="B653" s="37"/>
      <c r="C653" s="29"/>
      <c r="D653" s="29"/>
      <c r="E653" s="37"/>
      <c r="F653" s="37"/>
      <c r="G653" s="37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 ht="11.25" customHeight="1">
      <c r="A654" s="29"/>
      <c r="B654" s="37"/>
      <c r="C654" s="29"/>
      <c r="D654" s="29"/>
      <c r="E654" s="37"/>
      <c r="F654" s="37"/>
      <c r="G654" s="37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 ht="11.25" customHeight="1">
      <c r="A655" s="29"/>
      <c r="B655" s="37"/>
      <c r="C655" s="29"/>
      <c r="D655" s="29"/>
      <c r="E655" s="37"/>
      <c r="F655" s="37"/>
      <c r="G655" s="37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 ht="11.25" customHeight="1">
      <c r="A656" s="29"/>
      <c r="B656" s="37"/>
      <c r="C656" s="29"/>
      <c r="D656" s="29"/>
      <c r="E656" s="37"/>
      <c r="F656" s="37"/>
      <c r="G656" s="37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 ht="11.25" customHeight="1">
      <c r="A657" s="29"/>
      <c r="B657" s="37"/>
      <c r="C657" s="29"/>
      <c r="D657" s="29"/>
      <c r="E657" s="37"/>
      <c r="F657" s="37"/>
      <c r="G657" s="37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 ht="11.25" customHeight="1">
      <c r="A658" s="29"/>
      <c r="B658" s="37"/>
      <c r="C658" s="29"/>
      <c r="D658" s="29"/>
      <c r="E658" s="37"/>
      <c r="F658" s="37"/>
      <c r="G658" s="37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 ht="11.25" customHeight="1">
      <c r="A659" s="29"/>
      <c r="B659" s="37"/>
      <c r="C659" s="29"/>
      <c r="D659" s="29"/>
      <c r="E659" s="37"/>
      <c r="F659" s="37"/>
      <c r="G659" s="37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 ht="11.25" customHeight="1">
      <c r="A660" s="29"/>
      <c r="B660" s="37"/>
      <c r="C660" s="29"/>
      <c r="D660" s="29"/>
      <c r="E660" s="37"/>
      <c r="F660" s="37"/>
      <c r="G660" s="37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 ht="11.25" customHeight="1">
      <c r="A661" s="29"/>
      <c r="B661" s="37"/>
      <c r="C661" s="29"/>
      <c r="D661" s="29"/>
      <c r="E661" s="37"/>
      <c r="F661" s="37"/>
      <c r="G661" s="37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 ht="11.25" customHeight="1">
      <c r="A662" s="29"/>
      <c r="B662" s="37"/>
      <c r="C662" s="29"/>
      <c r="D662" s="29"/>
      <c r="E662" s="37"/>
      <c r="F662" s="37"/>
      <c r="G662" s="37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 ht="11.25" customHeight="1">
      <c r="A663" s="29"/>
      <c r="B663" s="37"/>
      <c r="C663" s="29"/>
      <c r="D663" s="29"/>
      <c r="E663" s="37"/>
      <c r="F663" s="37"/>
      <c r="G663" s="37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 ht="11.25" customHeight="1">
      <c r="A664" s="29"/>
      <c r="B664" s="37"/>
      <c r="C664" s="29"/>
      <c r="D664" s="29"/>
      <c r="E664" s="37"/>
      <c r="F664" s="37"/>
      <c r="G664" s="37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 ht="11.25" customHeight="1">
      <c r="A665" s="29"/>
      <c r="B665" s="37"/>
      <c r="C665" s="29"/>
      <c r="D665" s="29"/>
      <c r="E665" s="37"/>
      <c r="F665" s="37"/>
      <c r="G665" s="37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 ht="11.25" customHeight="1">
      <c r="A666" s="29"/>
      <c r="B666" s="37"/>
      <c r="C666" s="29"/>
      <c r="D666" s="29"/>
      <c r="E666" s="37"/>
      <c r="F666" s="37"/>
      <c r="G666" s="37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 ht="11.25" customHeight="1">
      <c r="A667" s="29"/>
      <c r="B667" s="37"/>
      <c r="C667" s="29"/>
      <c r="D667" s="29"/>
      <c r="E667" s="37"/>
      <c r="F667" s="37"/>
      <c r="G667" s="37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 ht="11.25" customHeight="1">
      <c r="A668" s="29"/>
      <c r="B668" s="37"/>
      <c r="C668" s="29"/>
      <c r="D668" s="29"/>
      <c r="E668" s="37"/>
      <c r="F668" s="37"/>
      <c r="G668" s="37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 ht="11.25" customHeight="1">
      <c r="A669" s="29"/>
      <c r="B669" s="37"/>
      <c r="C669" s="29"/>
      <c r="D669" s="29"/>
      <c r="E669" s="37"/>
      <c r="F669" s="37"/>
      <c r="G669" s="37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 ht="11.25" customHeight="1">
      <c r="A670" s="29"/>
      <c r="B670" s="37"/>
      <c r="C670" s="29"/>
      <c r="D670" s="29"/>
      <c r="E670" s="37"/>
      <c r="F670" s="37"/>
      <c r="G670" s="37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 ht="11.25" customHeight="1">
      <c r="A671" s="29"/>
      <c r="B671" s="37"/>
      <c r="C671" s="29"/>
      <c r="D671" s="29"/>
      <c r="E671" s="37"/>
      <c r="F671" s="37"/>
      <c r="G671" s="37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 ht="11.25" customHeight="1">
      <c r="A672" s="29"/>
      <c r="B672" s="37"/>
      <c r="C672" s="29"/>
      <c r="D672" s="29"/>
      <c r="E672" s="37"/>
      <c r="F672" s="37"/>
      <c r="G672" s="37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 ht="11.25" customHeight="1">
      <c r="A673" s="29"/>
      <c r="B673" s="37"/>
      <c r="C673" s="29"/>
      <c r="D673" s="29"/>
      <c r="E673" s="37"/>
      <c r="F673" s="37"/>
      <c r="G673" s="37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 ht="11.25" customHeight="1">
      <c r="A674" s="29"/>
      <c r="B674" s="37"/>
      <c r="C674" s="29"/>
      <c r="D674" s="29"/>
      <c r="E674" s="37"/>
      <c r="F674" s="37"/>
      <c r="G674" s="37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 ht="11.25" customHeight="1">
      <c r="A675" s="29"/>
      <c r="B675" s="37"/>
      <c r="C675" s="29"/>
      <c r="D675" s="29"/>
      <c r="E675" s="37"/>
      <c r="F675" s="37"/>
      <c r="G675" s="37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 ht="11.25" customHeight="1">
      <c r="A676" s="29"/>
      <c r="B676" s="37"/>
      <c r="C676" s="29"/>
      <c r="D676" s="29"/>
      <c r="E676" s="37"/>
      <c r="F676" s="37"/>
      <c r="G676" s="37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 ht="11.25" customHeight="1">
      <c r="A677" s="29"/>
      <c r="B677" s="37"/>
      <c r="C677" s="29"/>
      <c r="D677" s="29"/>
      <c r="E677" s="37"/>
      <c r="F677" s="37"/>
      <c r="G677" s="37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 ht="11.25" customHeight="1">
      <c r="A678" s="29"/>
      <c r="B678" s="37"/>
      <c r="C678" s="29"/>
      <c r="D678" s="29"/>
      <c r="E678" s="37"/>
      <c r="F678" s="37"/>
      <c r="G678" s="37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 ht="11.25" customHeight="1">
      <c r="A679" s="29"/>
      <c r="B679" s="37"/>
      <c r="C679" s="29"/>
      <c r="D679" s="29"/>
      <c r="E679" s="37"/>
      <c r="F679" s="37"/>
      <c r="G679" s="37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 ht="11.25" customHeight="1">
      <c r="A680" s="29"/>
      <c r="B680" s="37"/>
      <c r="C680" s="29"/>
      <c r="D680" s="29"/>
      <c r="E680" s="37"/>
      <c r="F680" s="37"/>
      <c r="G680" s="37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 ht="11.25" customHeight="1">
      <c r="A681" s="29"/>
      <c r="B681" s="37"/>
      <c r="C681" s="29"/>
      <c r="D681" s="29"/>
      <c r="E681" s="37"/>
      <c r="F681" s="37"/>
      <c r="G681" s="37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 ht="11.25" customHeight="1">
      <c r="A682" s="29"/>
      <c r="B682" s="37"/>
      <c r="C682" s="29"/>
      <c r="D682" s="29"/>
      <c r="E682" s="37"/>
      <c r="F682" s="37"/>
      <c r="G682" s="37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 ht="11.25" customHeight="1">
      <c r="A683" s="29"/>
      <c r="B683" s="37"/>
      <c r="C683" s="29"/>
      <c r="D683" s="29"/>
      <c r="E683" s="37"/>
      <c r="F683" s="37"/>
      <c r="G683" s="37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 ht="11.25" customHeight="1">
      <c r="A684" s="29"/>
      <c r="B684" s="37"/>
      <c r="C684" s="29"/>
      <c r="D684" s="29"/>
      <c r="E684" s="37"/>
      <c r="F684" s="37"/>
      <c r="G684" s="37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 ht="11.25" customHeight="1">
      <c r="A685" s="29"/>
      <c r="B685" s="37"/>
      <c r="C685" s="29"/>
      <c r="D685" s="29"/>
      <c r="E685" s="37"/>
      <c r="F685" s="37"/>
      <c r="G685" s="37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 ht="11.25" customHeight="1">
      <c r="A686" s="29"/>
      <c r="B686" s="37"/>
      <c r="C686" s="29"/>
      <c r="D686" s="29"/>
      <c r="E686" s="37"/>
      <c r="F686" s="37"/>
      <c r="G686" s="37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 ht="11.25" customHeight="1">
      <c r="A687" s="29"/>
      <c r="B687" s="37"/>
      <c r="C687" s="29"/>
      <c r="D687" s="29"/>
      <c r="E687" s="37"/>
      <c r="F687" s="37"/>
      <c r="G687" s="37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 ht="11.25" customHeight="1">
      <c r="A688" s="29"/>
      <c r="B688" s="37"/>
      <c r="C688" s="29"/>
      <c r="D688" s="29"/>
      <c r="E688" s="37"/>
      <c r="F688" s="37"/>
      <c r="G688" s="37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 ht="11.25" customHeight="1">
      <c r="A689" s="29"/>
      <c r="B689" s="37"/>
      <c r="C689" s="29"/>
      <c r="D689" s="29"/>
      <c r="E689" s="37"/>
      <c r="F689" s="37"/>
      <c r="G689" s="37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 ht="11.25" customHeight="1">
      <c r="A690" s="29"/>
      <c r="B690" s="37"/>
      <c r="C690" s="29"/>
      <c r="D690" s="29"/>
      <c r="E690" s="37"/>
      <c r="F690" s="37"/>
      <c r="G690" s="37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 ht="11.25" customHeight="1">
      <c r="A691" s="29"/>
      <c r="B691" s="37"/>
      <c r="C691" s="29"/>
      <c r="D691" s="29"/>
      <c r="E691" s="37"/>
      <c r="F691" s="37"/>
      <c r="G691" s="37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 ht="11.25" customHeight="1">
      <c r="A692" s="29"/>
      <c r="B692" s="37"/>
      <c r="C692" s="29"/>
      <c r="D692" s="29"/>
      <c r="E692" s="37"/>
      <c r="F692" s="37"/>
      <c r="G692" s="37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 ht="11.25" customHeight="1">
      <c r="A693" s="29"/>
      <c r="B693" s="37"/>
      <c r="C693" s="29"/>
      <c r="D693" s="29"/>
      <c r="E693" s="37"/>
      <c r="F693" s="37"/>
      <c r="G693" s="37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 ht="11.25" customHeight="1">
      <c r="A694" s="29"/>
      <c r="B694" s="37"/>
      <c r="C694" s="29"/>
      <c r="D694" s="29"/>
      <c r="E694" s="37"/>
      <c r="F694" s="37"/>
      <c r="G694" s="37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 ht="11.25" customHeight="1">
      <c r="A695" s="29"/>
      <c r="B695" s="37"/>
      <c r="C695" s="29"/>
      <c r="D695" s="29"/>
      <c r="E695" s="37"/>
      <c r="F695" s="37"/>
      <c r="G695" s="37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 ht="11.25" customHeight="1">
      <c r="A696" s="29"/>
      <c r="B696" s="37"/>
      <c r="C696" s="29"/>
      <c r="D696" s="29"/>
      <c r="E696" s="37"/>
      <c r="F696" s="37"/>
      <c r="G696" s="37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 ht="11.25" customHeight="1">
      <c r="A697" s="29"/>
      <c r="B697" s="37"/>
      <c r="C697" s="29"/>
      <c r="D697" s="29"/>
      <c r="E697" s="37"/>
      <c r="F697" s="37"/>
      <c r="G697" s="37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 ht="11.25" customHeight="1">
      <c r="A698" s="29"/>
      <c r="B698" s="37"/>
      <c r="C698" s="29"/>
      <c r="D698" s="29"/>
      <c r="E698" s="37"/>
      <c r="F698" s="37"/>
      <c r="G698" s="37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 ht="11.25" customHeight="1">
      <c r="A699" s="29"/>
      <c r="B699" s="37"/>
      <c r="C699" s="29"/>
      <c r="D699" s="29"/>
      <c r="E699" s="37"/>
      <c r="F699" s="37"/>
      <c r="G699" s="37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 ht="11.25" customHeight="1">
      <c r="A700" s="29"/>
      <c r="B700" s="37"/>
      <c r="C700" s="29"/>
      <c r="D700" s="29"/>
      <c r="E700" s="37"/>
      <c r="F700" s="37"/>
      <c r="G700" s="37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 ht="11.25" customHeight="1">
      <c r="A701" s="29"/>
      <c r="B701" s="37"/>
      <c r="C701" s="29"/>
      <c r="D701" s="29"/>
      <c r="E701" s="37"/>
      <c r="F701" s="37"/>
      <c r="G701" s="37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 ht="11.25" customHeight="1">
      <c r="A702" s="29"/>
      <c r="B702" s="37"/>
      <c r="C702" s="29"/>
      <c r="D702" s="29"/>
      <c r="E702" s="37"/>
      <c r="F702" s="37"/>
      <c r="G702" s="37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 ht="11.25" customHeight="1">
      <c r="A703" s="29"/>
      <c r="B703" s="37"/>
      <c r="C703" s="29"/>
      <c r="D703" s="29"/>
      <c r="E703" s="37"/>
      <c r="F703" s="37"/>
      <c r="G703" s="37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 ht="11.25" customHeight="1">
      <c r="A704" s="29"/>
      <c r="B704" s="37"/>
      <c r="C704" s="29"/>
      <c r="D704" s="29"/>
      <c r="E704" s="37"/>
      <c r="F704" s="37"/>
      <c r="G704" s="37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 ht="11.25" customHeight="1">
      <c r="A705" s="29"/>
      <c r="B705" s="37"/>
      <c r="C705" s="29"/>
      <c r="D705" s="29"/>
      <c r="E705" s="37"/>
      <c r="F705" s="37"/>
      <c r="G705" s="37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 ht="11.25" customHeight="1">
      <c r="A706" s="29"/>
      <c r="B706" s="37"/>
      <c r="C706" s="29"/>
      <c r="D706" s="29"/>
      <c r="E706" s="37"/>
      <c r="F706" s="37"/>
      <c r="G706" s="37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 ht="11.25" customHeight="1">
      <c r="A707" s="29"/>
      <c r="B707" s="37"/>
      <c r="C707" s="29"/>
      <c r="D707" s="29"/>
      <c r="E707" s="37"/>
      <c r="F707" s="37"/>
      <c r="G707" s="37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 ht="11.25" customHeight="1">
      <c r="A708" s="29"/>
      <c r="B708" s="37"/>
      <c r="C708" s="29"/>
      <c r="D708" s="29"/>
      <c r="E708" s="37"/>
      <c r="F708" s="37"/>
      <c r="G708" s="37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 ht="11.25" customHeight="1">
      <c r="A709" s="29"/>
      <c r="B709" s="37"/>
      <c r="C709" s="29"/>
      <c r="D709" s="29"/>
      <c r="E709" s="37"/>
      <c r="F709" s="37"/>
      <c r="G709" s="37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 ht="11.25" customHeight="1">
      <c r="A710" s="29"/>
      <c r="B710" s="37"/>
      <c r="C710" s="29"/>
      <c r="D710" s="29"/>
      <c r="E710" s="37"/>
      <c r="F710" s="37"/>
      <c r="G710" s="37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 ht="11.25" customHeight="1">
      <c r="A711" s="29"/>
      <c r="B711" s="37"/>
      <c r="C711" s="29"/>
      <c r="D711" s="29"/>
      <c r="E711" s="37"/>
      <c r="F711" s="37"/>
      <c r="G711" s="37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 ht="11.25" customHeight="1">
      <c r="A712" s="29"/>
      <c r="B712" s="37"/>
      <c r="C712" s="29"/>
      <c r="D712" s="29"/>
      <c r="E712" s="37"/>
      <c r="F712" s="37"/>
      <c r="G712" s="37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 ht="11.25" customHeight="1">
      <c r="A713" s="29"/>
      <c r="B713" s="37"/>
      <c r="C713" s="29"/>
      <c r="D713" s="29"/>
      <c r="E713" s="37"/>
      <c r="F713" s="37"/>
      <c r="G713" s="37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 ht="11.25" customHeight="1">
      <c r="A714" s="29"/>
      <c r="B714" s="37"/>
      <c r="C714" s="29"/>
      <c r="D714" s="29"/>
      <c r="E714" s="37"/>
      <c r="F714" s="37"/>
      <c r="G714" s="37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 ht="11.25" customHeight="1">
      <c r="A715" s="29"/>
      <c r="B715" s="37"/>
      <c r="C715" s="29"/>
      <c r="D715" s="29"/>
      <c r="E715" s="37"/>
      <c r="F715" s="37"/>
      <c r="G715" s="37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 ht="11.25" customHeight="1">
      <c r="A716" s="29"/>
      <c r="B716" s="37"/>
      <c r="C716" s="29"/>
      <c r="D716" s="29"/>
      <c r="E716" s="37"/>
      <c r="F716" s="37"/>
      <c r="G716" s="37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 ht="11.25" customHeight="1">
      <c r="A717" s="29"/>
      <c r="B717" s="37"/>
      <c r="C717" s="29"/>
      <c r="D717" s="29"/>
      <c r="E717" s="37"/>
      <c r="F717" s="37"/>
      <c r="G717" s="37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 ht="11.25" customHeight="1">
      <c r="A718" s="29"/>
      <c r="B718" s="37"/>
      <c r="C718" s="29"/>
      <c r="D718" s="29"/>
      <c r="E718" s="37"/>
      <c r="F718" s="37"/>
      <c r="G718" s="37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 ht="11.25" customHeight="1">
      <c r="A719" s="29"/>
      <c r="B719" s="37"/>
      <c r="C719" s="29"/>
      <c r="D719" s="29"/>
      <c r="E719" s="37"/>
      <c r="F719" s="37"/>
      <c r="G719" s="37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 ht="11.25" customHeight="1">
      <c r="A720" s="29"/>
      <c r="B720" s="37"/>
      <c r="C720" s="29"/>
      <c r="D720" s="29"/>
      <c r="E720" s="37"/>
      <c r="F720" s="37"/>
      <c r="G720" s="37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 ht="11.25" customHeight="1">
      <c r="A721" s="29"/>
      <c r="B721" s="37"/>
      <c r="C721" s="29"/>
      <c r="D721" s="29"/>
      <c r="E721" s="37"/>
      <c r="F721" s="37"/>
      <c r="G721" s="37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 ht="11.25" customHeight="1">
      <c r="A722" s="29"/>
      <c r="B722" s="37"/>
      <c r="C722" s="29"/>
      <c r="D722" s="29"/>
      <c r="E722" s="37"/>
      <c r="F722" s="37"/>
      <c r="G722" s="37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 ht="11.25" customHeight="1">
      <c r="A723" s="29"/>
      <c r="B723" s="37"/>
      <c r="C723" s="29"/>
      <c r="D723" s="29"/>
      <c r="E723" s="37"/>
      <c r="F723" s="37"/>
      <c r="G723" s="37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 ht="11.25" customHeight="1">
      <c r="A724" s="29"/>
      <c r="B724" s="37"/>
      <c r="C724" s="29"/>
      <c r="D724" s="29"/>
      <c r="E724" s="37"/>
      <c r="F724" s="37"/>
      <c r="G724" s="37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 ht="11.25" customHeight="1">
      <c r="A725" s="29"/>
      <c r="B725" s="37"/>
      <c r="C725" s="29"/>
      <c r="D725" s="29"/>
      <c r="E725" s="37"/>
      <c r="F725" s="37"/>
      <c r="G725" s="37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 ht="11.25" customHeight="1">
      <c r="A726" s="29"/>
      <c r="B726" s="37"/>
      <c r="C726" s="29"/>
      <c r="D726" s="29"/>
      <c r="E726" s="37"/>
      <c r="F726" s="37"/>
      <c r="G726" s="37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 ht="11.25" customHeight="1">
      <c r="A727" s="29"/>
      <c r="B727" s="37"/>
      <c r="C727" s="29"/>
      <c r="D727" s="29"/>
      <c r="E727" s="37"/>
      <c r="F727" s="37"/>
      <c r="G727" s="37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 ht="11.25" customHeight="1">
      <c r="A728" s="29"/>
      <c r="B728" s="37"/>
      <c r="C728" s="29"/>
      <c r="D728" s="29"/>
      <c r="E728" s="37"/>
      <c r="F728" s="37"/>
      <c r="G728" s="37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 ht="11.25" customHeight="1">
      <c r="A729" s="29"/>
      <c r="B729" s="37"/>
      <c r="C729" s="29"/>
      <c r="D729" s="29"/>
      <c r="E729" s="37"/>
      <c r="F729" s="37"/>
      <c r="G729" s="37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 ht="11.25" customHeight="1">
      <c r="A730" s="29"/>
      <c r="B730" s="37"/>
      <c r="C730" s="29"/>
      <c r="D730" s="29"/>
      <c r="E730" s="37"/>
      <c r="F730" s="37"/>
      <c r="G730" s="37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 ht="11.25" customHeight="1">
      <c r="A731" s="29"/>
      <c r="B731" s="37"/>
      <c r="C731" s="29"/>
      <c r="D731" s="29"/>
      <c r="E731" s="37"/>
      <c r="F731" s="37"/>
      <c r="G731" s="37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 ht="11.25" customHeight="1">
      <c r="A732" s="29"/>
      <c r="B732" s="37"/>
      <c r="C732" s="29"/>
      <c r="D732" s="29"/>
      <c r="E732" s="37"/>
      <c r="F732" s="37"/>
      <c r="G732" s="37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 ht="11.25" customHeight="1">
      <c r="A733" s="29"/>
      <c r="B733" s="37"/>
      <c r="C733" s="29"/>
      <c r="D733" s="29"/>
      <c r="E733" s="37"/>
      <c r="F733" s="37"/>
      <c r="G733" s="37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 ht="11.25" customHeight="1">
      <c r="A734" s="29"/>
      <c r="B734" s="37"/>
      <c r="C734" s="29"/>
      <c r="D734" s="29"/>
      <c r="E734" s="37"/>
      <c r="F734" s="37"/>
      <c r="G734" s="37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 ht="11.25" customHeight="1">
      <c r="A735" s="29"/>
      <c r="B735" s="37"/>
      <c r="C735" s="29"/>
      <c r="D735" s="29"/>
      <c r="E735" s="37"/>
      <c r="F735" s="37"/>
      <c r="G735" s="37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 ht="11.25" customHeight="1">
      <c r="A736" s="29"/>
      <c r="B736" s="37"/>
      <c r="C736" s="29"/>
      <c r="D736" s="29"/>
      <c r="E736" s="37"/>
      <c r="F736" s="37"/>
      <c r="G736" s="37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 ht="11.25" customHeight="1">
      <c r="A737" s="29"/>
      <c r="B737" s="37"/>
      <c r="C737" s="29"/>
      <c r="D737" s="29"/>
      <c r="E737" s="37"/>
      <c r="F737" s="37"/>
      <c r="G737" s="37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 ht="11.25" customHeight="1">
      <c r="A738" s="29"/>
      <c r="B738" s="37"/>
      <c r="C738" s="29"/>
      <c r="D738" s="29"/>
      <c r="E738" s="37"/>
      <c r="F738" s="37"/>
      <c r="G738" s="37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 ht="11.25" customHeight="1">
      <c r="A739" s="29"/>
      <c r="B739" s="37"/>
      <c r="C739" s="29"/>
      <c r="D739" s="29"/>
      <c r="E739" s="37"/>
      <c r="F739" s="37"/>
      <c r="G739" s="37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 ht="11.25" customHeight="1">
      <c r="A740" s="29"/>
      <c r="B740" s="37"/>
      <c r="C740" s="29"/>
      <c r="D740" s="29"/>
      <c r="E740" s="37"/>
      <c r="F740" s="37"/>
      <c r="G740" s="37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 ht="11.25" customHeight="1">
      <c r="A741" s="29"/>
      <c r="B741" s="37"/>
      <c r="C741" s="29"/>
      <c r="D741" s="29"/>
      <c r="E741" s="37"/>
      <c r="F741" s="37"/>
      <c r="G741" s="37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 ht="11.25" customHeight="1">
      <c r="A742" s="29"/>
      <c r="B742" s="37"/>
      <c r="C742" s="29"/>
      <c r="D742" s="29"/>
      <c r="E742" s="37"/>
      <c r="F742" s="37"/>
      <c r="G742" s="37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 ht="11.25" customHeight="1">
      <c r="A743" s="29"/>
      <c r="B743" s="37"/>
      <c r="C743" s="29"/>
      <c r="D743" s="29"/>
      <c r="E743" s="37"/>
      <c r="F743" s="37"/>
      <c r="G743" s="37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 ht="11.25" customHeight="1">
      <c r="A744" s="29"/>
      <c r="B744" s="37"/>
      <c r="C744" s="29"/>
      <c r="D744" s="29"/>
      <c r="E744" s="37"/>
      <c r="F744" s="37"/>
      <c r="G744" s="37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 ht="11.25" customHeight="1">
      <c r="A745" s="29"/>
      <c r="B745" s="37"/>
      <c r="C745" s="29"/>
      <c r="D745" s="29"/>
      <c r="E745" s="37"/>
      <c r="F745" s="37"/>
      <c r="G745" s="37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 ht="11.25" customHeight="1">
      <c r="A746" s="29"/>
      <c r="B746" s="37"/>
      <c r="C746" s="29"/>
      <c r="D746" s="29"/>
      <c r="E746" s="37"/>
      <c r="F746" s="37"/>
      <c r="G746" s="37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 ht="11.25" customHeight="1">
      <c r="A747" s="29"/>
      <c r="B747" s="37"/>
      <c r="C747" s="29"/>
      <c r="D747" s="29"/>
      <c r="E747" s="37"/>
      <c r="F747" s="37"/>
      <c r="G747" s="37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 ht="11.25" customHeight="1">
      <c r="A748" s="29"/>
      <c r="B748" s="37"/>
      <c r="C748" s="29"/>
      <c r="D748" s="29"/>
      <c r="E748" s="37"/>
      <c r="F748" s="37"/>
      <c r="G748" s="37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 ht="11.25" customHeight="1">
      <c r="A749" s="29"/>
      <c r="B749" s="37"/>
      <c r="C749" s="29"/>
      <c r="D749" s="29"/>
      <c r="E749" s="37"/>
      <c r="F749" s="37"/>
      <c r="G749" s="37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 ht="11.25" customHeight="1">
      <c r="A750" s="29"/>
      <c r="B750" s="37"/>
      <c r="C750" s="29"/>
      <c r="D750" s="29"/>
      <c r="E750" s="37"/>
      <c r="F750" s="37"/>
      <c r="G750" s="37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 ht="11.25" customHeight="1">
      <c r="A751" s="29"/>
      <c r="B751" s="37"/>
      <c r="C751" s="29"/>
      <c r="D751" s="29"/>
      <c r="E751" s="37"/>
      <c r="F751" s="37"/>
      <c r="G751" s="37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 ht="11.25" customHeight="1">
      <c r="A752" s="29"/>
      <c r="B752" s="37"/>
      <c r="C752" s="29"/>
      <c r="D752" s="29"/>
      <c r="E752" s="37"/>
      <c r="F752" s="37"/>
      <c r="G752" s="37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 ht="11.25" customHeight="1">
      <c r="A753" s="29"/>
      <c r="B753" s="37"/>
      <c r="C753" s="29"/>
      <c r="D753" s="29"/>
      <c r="E753" s="37"/>
      <c r="F753" s="37"/>
      <c r="G753" s="37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 ht="11.25" customHeight="1">
      <c r="A754" s="29"/>
      <c r="B754" s="37"/>
      <c r="C754" s="29"/>
      <c r="D754" s="29"/>
      <c r="E754" s="37"/>
      <c r="F754" s="37"/>
      <c r="G754" s="37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 ht="11.25" customHeight="1">
      <c r="A755" s="29"/>
      <c r="B755" s="37"/>
      <c r="C755" s="29"/>
      <c r="D755" s="29"/>
      <c r="E755" s="37"/>
      <c r="F755" s="37"/>
      <c r="G755" s="37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 ht="11.25" customHeight="1">
      <c r="A756" s="29"/>
      <c r="B756" s="37"/>
      <c r="C756" s="29"/>
      <c r="D756" s="29"/>
      <c r="E756" s="37"/>
      <c r="F756" s="37"/>
      <c r="G756" s="37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 ht="11.25" customHeight="1">
      <c r="A757" s="29"/>
      <c r="B757" s="37"/>
      <c r="C757" s="29"/>
      <c r="D757" s="29"/>
      <c r="E757" s="37"/>
      <c r="F757" s="37"/>
      <c r="G757" s="37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 ht="11.25" customHeight="1">
      <c r="A758" s="29"/>
      <c r="B758" s="37"/>
      <c r="C758" s="29"/>
      <c r="D758" s="29"/>
      <c r="E758" s="37"/>
      <c r="F758" s="37"/>
      <c r="G758" s="37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 ht="11.25" customHeight="1">
      <c r="A759" s="29"/>
      <c r="B759" s="37"/>
      <c r="C759" s="29"/>
      <c r="D759" s="29"/>
      <c r="E759" s="37"/>
      <c r="F759" s="37"/>
      <c r="G759" s="37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 ht="11.25" customHeight="1">
      <c r="A760" s="29"/>
      <c r="B760" s="37"/>
      <c r="C760" s="29"/>
      <c r="D760" s="29"/>
      <c r="E760" s="37"/>
      <c r="F760" s="37"/>
      <c r="G760" s="37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 ht="11.25" customHeight="1">
      <c r="A761" s="29"/>
      <c r="B761" s="37"/>
      <c r="C761" s="29"/>
      <c r="D761" s="29"/>
      <c r="E761" s="37"/>
      <c r="F761" s="37"/>
      <c r="G761" s="37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 ht="11.25" customHeight="1">
      <c r="A762" s="29"/>
      <c r="B762" s="37"/>
      <c r="C762" s="29"/>
      <c r="D762" s="29"/>
      <c r="E762" s="37"/>
      <c r="F762" s="37"/>
      <c r="G762" s="37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 ht="11.25" customHeight="1">
      <c r="A763" s="29"/>
      <c r="B763" s="37"/>
      <c r="C763" s="29"/>
      <c r="D763" s="29"/>
      <c r="E763" s="37"/>
      <c r="F763" s="37"/>
      <c r="G763" s="37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 ht="11.25" customHeight="1">
      <c r="A764" s="29"/>
      <c r="B764" s="37"/>
      <c r="C764" s="29"/>
      <c r="D764" s="29"/>
      <c r="E764" s="37"/>
      <c r="F764" s="37"/>
      <c r="G764" s="37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 ht="11.25" customHeight="1">
      <c r="A765" s="29"/>
      <c r="B765" s="37"/>
      <c r="C765" s="29"/>
      <c r="D765" s="29"/>
      <c r="E765" s="37"/>
      <c r="F765" s="37"/>
      <c r="G765" s="37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 ht="11.25" customHeight="1">
      <c r="A766" s="29"/>
      <c r="B766" s="37"/>
      <c r="C766" s="29"/>
      <c r="D766" s="29"/>
      <c r="E766" s="37"/>
      <c r="F766" s="37"/>
      <c r="G766" s="37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 ht="11.25" customHeight="1">
      <c r="A767" s="29"/>
      <c r="B767" s="37"/>
      <c r="C767" s="29"/>
      <c r="D767" s="29"/>
      <c r="E767" s="37"/>
      <c r="F767" s="37"/>
      <c r="G767" s="37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 ht="11.25" customHeight="1">
      <c r="A768" s="29"/>
      <c r="B768" s="37"/>
      <c r="C768" s="29"/>
      <c r="D768" s="29"/>
      <c r="E768" s="37"/>
      <c r="F768" s="37"/>
      <c r="G768" s="37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 ht="11.25" customHeight="1">
      <c r="A769" s="29"/>
      <c r="B769" s="37"/>
      <c r="C769" s="29"/>
      <c r="D769" s="29"/>
      <c r="E769" s="37"/>
      <c r="F769" s="37"/>
      <c r="G769" s="37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 ht="11.25" customHeight="1">
      <c r="A770" s="29"/>
      <c r="B770" s="37"/>
      <c r="C770" s="29"/>
      <c r="D770" s="29"/>
      <c r="E770" s="37"/>
      <c r="F770" s="37"/>
      <c r="G770" s="37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 ht="11.25" customHeight="1">
      <c r="A771" s="29"/>
      <c r="B771" s="37"/>
      <c r="C771" s="29"/>
      <c r="D771" s="29"/>
      <c r="E771" s="37"/>
      <c r="F771" s="37"/>
      <c r="G771" s="37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 ht="11.25" customHeight="1">
      <c r="A772" s="29"/>
      <c r="B772" s="37"/>
      <c r="C772" s="29"/>
      <c r="D772" s="29"/>
      <c r="E772" s="37"/>
      <c r="F772" s="37"/>
      <c r="G772" s="37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 ht="11.25" customHeight="1">
      <c r="A773" s="29"/>
      <c r="B773" s="37"/>
      <c r="C773" s="29"/>
      <c r="D773" s="29"/>
      <c r="E773" s="37"/>
      <c r="F773" s="37"/>
      <c r="G773" s="37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 ht="11.25" customHeight="1">
      <c r="A774" s="29"/>
      <c r="B774" s="37"/>
      <c r="C774" s="29"/>
      <c r="D774" s="29"/>
      <c r="E774" s="37"/>
      <c r="F774" s="37"/>
      <c r="G774" s="37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 ht="11.25" customHeight="1">
      <c r="A775" s="29"/>
      <c r="B775" s="37"/>
      <c r="C775" s="29"/>
      <c r="D775" s="29"/>
      <c r="E775" s="37"/>
      <c r="F775" s="37"/>
      <c r="G775" s="37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 ht="11.25" customHeight="1">
      <c r="A776" s="29"/>
      <c r="B776" s="37"/>
      <c r="C776" s="29"/>
      <c r="D776" s="29"/>
      <c r="E776" s="37"/>
      <c r="F776" s="37"/>
      <c r="G776" s="37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 ht="11.25" customHeight="1">
      <c r="A777" s="29"/>
      <c r="B777" s="37"/>
      <c r="C777" s="29"/>
      <c r="D777" s="29"/>
      <c r="E777" s="37"/>
      <c r="F777" s="37"/>
      <c r="G777" s="37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 ht="11.25" customHeight="1">
      <c r="A778" s="29"/>
      <c r="B778" s="37"/>
      <c r="C778" s="29"/>
      <c r="D778" s="29"/>
      <c r="E778" s="37"/>
      <c r="F778" s="37"/>
      <c r="G778" s="37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 ht="11.25" customHeight="1">
      <c r="A779" s="29"/>
      <c r="B779" s="37"/>
      <c r="C779" s="29"/>
      <c r="D779" s="29"/>
      <c r="E779" s="37"/>
      <c r="F779" s="37"/>
      <c r="G779" s="37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 ht="11.25" customHeight="1">
      <c r="A780" s="29"/>
      <c r="B780" s="37"/>
      <c r="C780" s="29"/>
      <c r="D780" s="29"/>
      <c r="E780" s="37"/>
      <c r="F780" s="37"/>
      <c r="G780" s="37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 ht="11.25" customHeight="1">
      <c r="A781" s="29"/>
      <c r="B781" s="37"/>
      <c r="C781" s="29"/>
      <c r="D781" s="29"/>
      <c r="E781" s="37"/>
      <c r="F781" s="37"/>
      <c r="G781" s="37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 ht="11.25" customHeight="1">
      <c r="A782" s="29"/>
      <c r="B782" s="37"/>
      <c r="C782" s="29"/>
      <c r="D782" s="29"/>
      <c r="E782" s="37"/>
      <c r="F782" s="37"/>
      <c r="G782" s="37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 ht="11.25" customHeight="1">
      <c r="A783" s="29"/>
      <c r="B783" s="37"/>
      <c r="C783" s="29"/>
      <c r="D783" s="29"/>
      <c r="E783" s="37"/>
      <c r="F783" s="37"/>
      <c r="G783" s="37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 ht="11.25" customHeight="1">
      <c r="A784" s="29"/>
      <c r="B784" s="37"/>
      <c r="C784" s="29"/>
      <c r="D784" s="29"/>
      <c r="E784" s="37"/>
      <c r="F784" s="37"/>
      <c r="G784" s="37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 ht="11.25" customHeight="1">
      <c r="A785" s="29"/>
      <c r="B785" s="37"/>
      <c r="C785" s="29"/>
      <c r="D785" s="29"/>
      <c r="E785" s="37"/>
      <c r="F785" s="37"/>
      <c r="G785" s="37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 ht="11.25" customHeight="1">
      <c r="A786" s="29"/>
      <c r="B786" s="37"/>
      <c r="C786" s="29"/>
      <c r="D786" s="29"/>
      <c r="E786" s="37"/>
      <c r="F786" s="37"/>
      <c r="G786" s="37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 ht="11.25" customHeight="1">
      <c r="A787" s="29"/>
      <c r="B787" s="37"/>
      <c r="C787" s="29"/>
      <c r="D787" s="29"/>
      <c r="E787" s="37"/>
      <c r="F787" s="37"/>
      <c r="G787" s="37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 ht="11.25" customHeight="1">
      <c r="A788" s="29"/>
      <c r="B788" s="37"/>
      <c r="C788" s="29"/>
      <c r="D788" s="29"/>
      <c r="E788" s="37"/>
      <c r="F788" s="37"/>
      <c r="G788" s="37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 ht="11.25" customHeight="1">
      <c r="A789" s="29"/>
      <c r="B789" s="37"/>
      <c r="C789" s="29"/>
      <c r="D789" s="29"/>
      <c r="E789" s="37"/>
      <c r="F789" s="37"/>
      <c r="G789" s="37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 ht="11.25" customHeight="1">
      <c r="A790" s="29"/>
      <c r="B790" s="37"/>
      <c r="C790" s="29"/>
      <c r="D790" s="29"/>
      <c r="E790" s="37"/>
      <c r="F790" s="37"/>
      <c r="G790" s="37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 ht="11.25" customHeight="1">
      <c r="A791" s="29"/>
      <c r="B791" s="37"/>
      <c r="C791" s="29"/>
      <c r="D791" s="29"/>
      <c r="E791" s="37"/>
      <c r="F791" s="37"/>
      <c r="G791" s="37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 ht="11.25" customHeight="1">
      <c r="A792" s="29"/>
      <c r="B792" s="37"/>
      <c r="C792" s="29"/>
      <c r="D792" s="29"/>
      <c r="E792" s="37"/>
      <c r="F792" s="37"/>
      <c r="G792" s="37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 ht="11.25" customHeight="1">
      <c r="A793" s="29"/>
      <c r="B793" s="37"/>
      <c r="C793" s="29"/>
      <c r="D793" s="29"/>
      <c r="E793" s="37"/>
      <c r="F793" s="37"/>
      <c r="G793" s="37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 ht="11.25" customHeight="1">
      <c r="A794" s="29"/>
      <c r="B794" s="37"/>
      <c r="C794" s="29"/>
      <c r="D794" s="29"/>
      <c r="E794" s="37"/>
      <c r="F794" s="37"/>
      <c r="G794" s="37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 ht="11.25" customHeight="1">
      <c r="A795" s="29"/>
      <c r="B795" s="37"/>
      <c r="C795" s="29"/>
      <c r="D795" s="29"/>
      <c r="E795" s="37"/>
      <c r="F795" s="37"/>
      <c r="G795" s="37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 ht="11.25" customHeight="1">
      <c r="A796" s="29"/>
      <c r="B796" s="37"/>
      <c r="C796" s="29"/>
      <c r="D796" s="29"/>
      <c r="E796" s="37"/>
      <c r="F796" s="37"/>
      <c r="G796" s="37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 ht="11.25" customHeight="1">
      <c r="A797" s="29"/>
      <c r="B797" s="37"/>
      <c r="C797" s="29"/>
      <c r="D797" s="29"/>
      <c r="E797" s="37"/>
      <c r="F797" s="37"/>
      <c r="G797" s="37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 ht="11.25" customHeight="1">
      <c r="A798" s="29"/>
      <c r="B798" s="37"/>
      <c r="C798" s="29"/>
      <c r="D798" s="29"/>
      <c r="E798" s="37"/>
      <c r="F798" s="37"/>
      <c r="G798" s="37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 ht="11.25" customHeight="1">
      <c r="A799" s="29"/>
      <c r="B799" s="37"/>
      <c r="C799" s="29"/>
      <c r="D799" s="29"/>
      <c r="E799" s="37"/>
      <c r="F799" s="37"/>
      <c r="G799" s="37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 ht="11.25" customHeight="1">
      <c r="A800" s="29"/>
      <c r="B800" s="37"/>
      <c r="C800" s="29"/>
      <c r="D800" s="29"/>
      <c r="E800" s="37"/>
      <c r="F800" s="37"/>
      <c r="G800" s="37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 ht="11.25" customHeight="1">
      <c r="A801" s="29"/>
      <c r="B801" s="37"/>
      <c r="C801" s="29"/>
      <c r="D801" s="29"/>
      <c r="E801" s="37"/>
      <c r="F801" s="37"/>
      <c r="G801" s="37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 ht="11.25" customHeight="1">
      <c r="A802" s="29"/>
      <c r="B802" s="37"/>
      <c r="C802" s="29"/>
      <c r="D802" s="29"/>
      <c r="E802" s="37"/>
      <c r="F802" s="37"/>
      <c r="G802" s="37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 ht="11.25" customHeight="1">
      <c r="A803" s="29"/>
      <c r="B803" s="37"/>
      <c r="C803" s="29"/>
      <c r="D803" s="29"/>
      <c r="E803" s="37"/>
      <c r="F803" s="37"/>
      <c r="G803" s="37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 ht="11.25" customHeight="1">
      <c r="A804" s="29"/>
      <c r="B804" s="37"/>
      <c r="C804" s="29"/>
      <c r="D804" s="29"/>
      <c r="E804" s="37"/>
      <c r="F804" s="37"/>
      <c r="G804" s="37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 ht="11.25" customHeight="1">
      <c r="A805" s="29"/>
      <c r="B805" s="37"/>
      <c r="C805" s="29"/>
      <c r="D805" s="29"/>
      <c r="E805" s="37"/>
      <c r="F805" s="37"/>
      <c r="G805" s="37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 ht="11.25" customHeight="1">
      <c r="A806" s="29"/>
      <c r="B806" s="37"/>
      <c r="C806" s="29"/>
      <c r="D806" s="29"/>
      <c r="E806" s="37"/>
      <c r="F806" s="37"/>
      <c r="G806" s="37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 ht="11.25" customHeight="1">
      <c r="A807" s="29"/>
      <c r="B807" s="37"/>
      <c r="C807" s="29"/>
      <c r="D807" s="29"/>
      <c r="E807" s="37"/>
      <c r="F807" s="37"/>
      <c r="G807" s="37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 ht="11.25" customHeight="1">
      <c r="A808" s="29"/>
      <c r="B808" s="37"/>
      <c r="C808" s="29"/>
      <c r="D808" s="29"/>
      <c r="E808" s="37"/>
      <c r="F808" s="37"/>
      <c r="G808" s="37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 ht="11.25" customHeight="1">
      <c r="A809" s="29"/>
      <c r="B809" s="37"/>
      <c r="C809" s="29"/>
      <c r="D809" s="29"/>
      <c r="E809" s="37"/>
      <c r="F809" s="37"/>
      <c r="G809" s="37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 ht="11.25" customHeight="1">
      <c r="A810" s="29"/>
      <c r="B810" s="37"/>
      <c r="C810" s="29"/>
      <c r="D810" s="29"/>
      <c r="E810" s="37"/>
      <c r="F810" s="37"/>
      <c r="G810" s="37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 ht="11.25" customHeight="1">
      <c r="A811" s="29"/>
      <c r="B811" s="37"/>
      <c r="C811" s="29"/>
      <c r="D811" s="29"/>
      <c r="E811" s="37"/>
      <c r="F811" s="37"/>
      <c r="G811" s="37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 ht="11.25" customHeight="1">
      <c r="A812" s="29"/>
      <c r="B812" s="37"/>
      <c r="C812" s="29"/>
      <c r="D812" s="29"/>
      <c r="E812" s="37"/>
      <c r="F812" s="37"/>
      <c r="G812" s="37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 ht="11.25" customHeight="1">
      <c r="A813" s="29"/>
      <c r="B813" s="37"/>
      <c r="C813" s="29"/>
      <c r="D813" s="29"/>
      <c r="E813" s="37"/>
      <c r="F813" s="37"/>
      <c r="G813" s="37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 ht="11.25" customHeight="1">
      <c r="A814" s="29"/>
      <c r="B814" s="37"/>
      <c r="C814" s="29"/>
      <c r="D814" s="29"/>
      <c r="E814" s="37"/>
      <c r="F814" s="37"/>
      <c r="G814" s="37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 ht="11.25" customHeight="1">
      <c r="A815" s="29"/>
      <c r="B815" s="37"/>
      <c r="C815" s="29"/>
      <c r="D815" s="29"/>
      <c r="E815" s="37"/>
      <c r="F815" s="37"/>
      <c r="G815" s="37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 ht="11.25" customHeight="1">
      <c r="A816" s="29"/>
      <c r="B816" s="37"/>
      <c r="C816" s="29"/>
      <c r="D816" s="29"/>
      <c r="E816" s="37"/>
      <c r="F816" s="37"/>
      <c r="G816" s="37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 ht="11.25" customHeight="1">
      <c r="A817" s="29"/>
      <c r="B817" s="37"/>
      <c r="C817" s="29"/>
      <c r="D817" s="29"/>
      <c r="E817" s="37"/>
      <c r="F817" s="37"/>
      <c r="G817" s="37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 ht="11.25" customHeight="1">
      <c r="A818" s="29"/>
      <c r="B818" s="37"/>
      <c r="C818" s="29"/>
      <c r="D818" s="29"/>
      <c r="E818" s="37"/>
      <c r="F818" s="37"/>
      <c r="G818" s="37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 ht="11.25" customHeight="1">
      <c r="A819" s="29"/>
      <c r="B819" s="37"/>
      <c r="C819" s="29"/>
      <c r="D819" s="29"/>
      <c r="E819" s="37"/>
      <c r="F819" s="37"/>
      <c r="G819" s="37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 ht="11.25" customHeight="1">
      <c r="A820" s="29"/>
      <c r="B820" s="37"/>
      <c r="C820" s="29"/>
      <c r="D820" s="29"/>
      <c r="E820" s="37"/>
      <c r="F820" s="37"/>
      <c r="G820" s="37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 ht="11.25" customHeight="1">
      <c r="A821" s="29"/>
      <c r="B821" s="37"/>
      <c r="C821" s="29"/>
      <c r="D821" s="29"/>
      <c r="E821" s="37"/>
      <c r="F821" s="37"/>
      <c r="G821" s="37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 ht="11.25" customHeight="1">
      <c r="A822" s="29"/>
      <c r="B822" s="37"/>
      <c r="C822" s="29"/>
      <c r="D822" s="29"/>
      <c r="E822" s="37"/>
      <c r="F822" s="37"/>
      <c r="G822" s="37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 ht="11.25" customHeight="1">
      <c r="A823" s="29"/>
      <c r="B823" s="37"/>
      <c r="C823" s="29"/>
      <c r="D823" s="29"/>
      <c r="E823" s="37"/>
      <c r="F823" s="37"/>
      <c r="G823" s="37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 ht="11.25" customHeight="1">
      <c r="A824" s="29"/>
      <c r="B824" s="37"/>
      <c r="C824" s="29"/>
      <c r="D824" s="29"/>
      <c r="E824" s="37"/>
      <c r="F824" s="37"/>
      <c r="G824" s="37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 ht="11.25" customHeight="1">
      <c r="A825" s="29"/>
      <c r="B825" s="37"/>
      <c r="C825" s="29"/>
      <c r="D825" s="29"/>
      <c r="E825" s="37"/>
      <c r="F825" s="37"/>
      <c r="G825" s="37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 ht="11.25" customHeight="1">
      <c r="A826" s="29"/>
      <c r="B826" s="37"/>
      <c r="C826" s="29"/>
      <c r="D826" s="29"/>
      <c r="E826" s="37"/>
      <c r="F826" s="37"/>
      <c r="G826" s="37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 ht="11.25" customHeight="1">
      <c r="A827" s="29"/>
      <c r="B827" s="37"/>
      <c r="C827" s="29"/>
      <c r="D827" s="29"/>
      <c r="E827" s="37"/>
      <c r="F827" s="37"/>
      <c r="G827" s="37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 ht="11.25" customHeight="1">
      <c r="A828" s="29"/>
      <c r="B828" s="37"/>
      <c r="C828" s="29"/>
      <c r="D828" s="29"/>
      <c r="E828" s="37"/>
      <c r="F828" s="37"/>
      <c r="G828" s="37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 ht="11.25" customHeight="1">
      <c r="A829" s="29"/>
      <c r="B829" s="37"/>
      <c r="C829" s="29"/>
      <c r="D829" s="29"/>
      <c r="E829" s="37"/>
      <c r="F829" s="37"/>
      <c r="G829" s="37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 ht="11.25" customHeight="1">
      <c r="A830" s="29"/>
      <c r="B830" s="37"/>
      <c r="C830" s="29"/>
      <c r="D830" s="29"/>
      <c r="E830" s="37"/>
      <c r="F830" s="37"/>
      <c r="G830" s="37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 ht="11.25" customHeight="1">
      <c r="A831" s="29"/>
      <c r="B831" s="37"/>
      <c r="C831" s="29"/>
      <c r="D831" s="29"/>
      <c r="E831" s="37"/>
      <c r="F831" s="37"/>
      <c r="G831" s="37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 ht="11.25" customHeight="1">
      <c r="A832" s="29"/>
      <c r="B832" s="37"/>
      <c r="C832" s="29"/>
      <c r="D832" s="29"/>
      <c r="E832" s="37"/>
      <c r="F832" s="37"/>
      <c r="G832" s="37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 ht="11.25" customHeight="1">
      <c r="A833" s="29"/>
      <c r="B833" s="37"/>
      <c r="C833" s="29"/>
      <c r="D833" s="29"/>
      <c r="E833" s="37"/>
      <c r="F833" s="37"/>
      <c r="G833" s="37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 ht="11.25" customHeight="1">
      <c r="A834" s="29"/>
      <c r="B834" s="37"/>
      <c r="C834" s="29"/>
      <c r="D834" s="29"/>
      <c r="E834" s="37"/>
      <c r="F834" s="37"/>
      <c r="G834" s="37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</row>
    <row r="835" ht="11.25" customHeight="1">
      <c r="A835" s="29"/>
      <c r="B835" s="37"/>
      <c r="C835" s="29"/>
      <c r="D835" s="29"/>
      <c r="E835" s="37"/>
      <c r="F835" s="37"/>
      <c r="G835" s="37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 ht="11.25" customHeight="1">
      <c r="A836" s="29"/>
      <c r="B836" s="37"/>
      <c r="C836" s="29"/>
      <c r="D836" s="29"/>
      <c r="E836" s="37"/>
      <c r="F836" s="37"/>
      <c r="G836" s="37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</row>
    <row r="837" ht="11.25" customHeight="1">
      <c r="A837" s="29"/>
      <c r="B837" s="37"/>
      <c r="C837" s="29"/>
      <c r="D837" s="29"/>
      <c r="E837" s="37"/>
      <c r="F837" s="37"/>
      <c r="G837" s="37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</row>
    <row r="838" ht="11.25" customHeight="1">
      <c r="A838" s="29"/>
      <c r="B838" s="37"/>
      <c r="C838" s="29"/>
      <c r="D838" s="29"/>
      <c r="E838" s="37"/>
      <c r="F838" s="37"/>
      <c r="G838" s="37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 ht="11.25" customHeight="1">
      <c r="A839" s="29"/>
      <c r="B839" s="37"/>
      <c r="C839" s="29"/>
      <c r="D839" s="29"/>
      <c r="E839" s="37"/>
      <c r="F839" s="37"/>
      <c r="G839" s="37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  <row r="840" ht="11.25" customHeight="1">
      <c r="A840" s="29"/>
      <c r="B840" s="37"/>
      <c r="C840" s="29"/>
      <c r="D840" s="29"/>
      <c r="E840" s="37"/>
      <c r="F840" s="37"/>
      <c r="G840" s="37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</row>
    <row r="841" ht="11.25" customHeight="1">
      <c r="A841" s="29"/>
      <c r="B841" s="37"/>
      <c r="C841" s="29"/>
      <c r="D841" s="29"/>
      <c r="E841" s="37"/>
      <c r="F841" s="37"/>
      <c r="G841" s="37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</row>
    <row r="842" ht="11.25" customHeight="1">
      <c r="A842" s="29"/>
      <c r="B842" s="37"/>
      <c r="C842" s="29"/>
      <c r="D842" s="29"/>
      <c r="E842" s="37"/>
      <c r="F842" s="37"/>
      <c r="G842" s="37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 ht="11.25" customHeight="1">
      <c r="A843" s="29"/>
      <c r="B843" s="37"/>
      <c r="C843" s="29"/>
      <c r="D843" s="29"/>
      <c r="E843" s="37"/>
      <c r="F843" s="37"/>
      <c r="G843" s="37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</row>
    <row r="844" ht="11.25" customHeight="1">
      <c r="A844" s="29"/>
      <c r="B844" s="37"/>
      <c r="C844" s="29"/>
      <c r="D844" s="29"/>
      <c r="E844" s="37"/>
      <c r="F844" s="37"/>
      <c r="G844" s="37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</row>
    <row r="845" ht="11.25" customHeight="1">
      <c r="A845" s="29"/>
      <c r="B845" s="37"/>
      <c r="C845" s="29"/>
      <c r="D845" s="29"/>
      <c r="E845" s="37"/>
      <c r="F845" s="37"/>
      <c r="G845" s="37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</row>
    <row r="846" ht="11.25" customHeight="1">
      <c r="A846" s="29"/>
      <c r="B846" s="37"/>
      <c r="C846" s="29"/>
      <c r="D846" s="29"/>
      <c r="E846" s="37"/>
      <c r="F846" s="37"/>
      <c r="G846" s="37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</row>
    <row r="847" ht="11.25" customHeight="1">
      <c r="A847" s="29"/>
      <c r="B847" s="37"/>
      <c r="C847" s="29"/>
      <c r="D847" s="29"/>
      <c r="E847" s="37"/>
      <c r="F847" s="37"/>
      <c r="G847" s="37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</row>
    <row r="848" ht="11.25" customHeight="1">
      <c r="A848" s="29"/>
      <c r="B848" s="37"/>
      <c r="C848" s="29"/>
      <c r="D848" s="29"/>
      <c r="E848" s="37"/>
      <c r="F848" s="37"/>
      <c r="G848" s="37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</row>
    <row r="849" ht="11.25" customHeight="1">
      <c r="A849" s="29"/>
      <c r="B849" s="37"/>
      <c r="C849" s="29"/>
      <c r="D849" s="29"/>
      <c r="E849" s="37"/>
      <c r="F849" s="37"/>
      <c r="G849" s="37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</row>
    <row r="850" ht="11.25" customHeight="1">
      <c r="A850" s="29"/>
      <c r="B850" s="37"/>
      <c r="C850" s="29"/>
      <c r="D850" s="29"/>
      <c r="E850" s="37"/>
      <c r="F850" s="37"/>
      <c r="G850" s="37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</row>
    <row r="851" ht="11.25" customHeight="1">
      <c r="A851" s="29"/>
      <c r="B851" s="37"/>
      <c r="C851" s="29"/>
      <c r="D851" s="29"/>
      <c r="E851" s="37"/>
      <c r="F851" s="37"/>
      <c r="G851" s="37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 ht="11.25" customHeight="1">
      <c r="A852" s="29"/>
      <c r="B852" s="37"/>
      <c r="C852" s="29"/>
      <c r="D852" s="29"/>
      <c r="E852" s="37"/>
      <c r="F852" s="37"/>
      <c r="G852" s="37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 ht="11.25" customHeight="1">
      <c r="A853" s="29"/>
      <c r="B853" s="37"/>
      <c r="C853" s="29"/>
      <c r="D853" s="29"/>
      <c r="E853" s="37"/>
      <c r="F853" s="37"/>
      <c r="G853" s="37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</row>
    <row r="854" ht="11.25" customHeight="1">
      <c r="A854" s="29"/>
      <c r="B854" s="37"/>
      <c r="C854" s="29"/>
      <c r="D854" s="29"/>
      <c r="E854" s="37"/>
      <c r="F854" s="37"/>
      <c r="G854" s="37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 ht="11.25" customHeight="1">
      <c r="A855" s="29"/>
      <c r="B855" s="37"/>
      <c r="C855" s="29"/>
      <c r="D855" s="29"/>
      <c r="E855" s="37"/>
      <c r="F855" s="37"/>
      <c r="G855" s="37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 ht="11.25" customHeight="1">
      <c r="A856" s="29"/>
      <c r="B856" s="37"/>
      <c r="C856" s="29"/>
      <c r="D856" s="29"/>
      <c r="E856" s="37"/>
      <c r="F856" s="37"/>
      <c r="G856" s="37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 ht="11.25" customHeight="1">
      <c r="A857" s="29"/>
      <c r="B857" s="37"/>
      <c r="C857" s="29"/>
      <c r="D857" s="29"/>
      <c r="E857" s="37"/>
      <c r="F857" s="37"/>
      <c r="G857" s="37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</row>
    <row r="858" ht="11.25" customHeight="1">
      <c r="A858" s="29"/>
      <c r="B858" s="37"/>
      <c r="C858" s="29"/>
      <c r="D858" s="29"/>
      <c r="E858" s="37"/>
      <c r="F858" s="37"/>
      <c r="G858" s="37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 ht="11.25" customHeight="1">
      <c r="A859" s="29"/>
      <c r="B859" s="37"/>
      <c r="C859" s="29"/>
      <c r="D859" s="29"/>
      <c r="E859" s="37"/>
      <c r="F859" s="37"/>
      <c r="G859" s="37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 ht="11.25" customHeight="1">
      <c r="A860" s="29"/>
      <c r="B860" s="37"/>
      <c r="C860" s="29"/>
      <c r="D860" s="29"/>
      <c r="E860" s="37"/>
      <c r="F860" s="37"/>
      <c r="G860" s="37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 ht="11.25" customHeight="1">
      <c r="A861" s="29"/>
      <c r="B861" s="37"/>
      <c r="C861" s="29"/>
      <c r="D861" s="29"/>
      <c r="E861" s="37"/>
      <c r="F861" s="37"/>
      <c r="G861" s="37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 ht="11.25" customHeight="1">
      <c r="A862" s="29"/>
      <c r="B862" s="37"/>
      <c r="C862" s="29"/>
      <c r="D862" s="29"/>
      <c r="E862" s="37"/>
      <c r="F862" s="37"/>
      <c r="G862" s="37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 ht="11.25" customHeight="1">
      <c r="A863" s="29"/>
      <c r="B863" s="37"/>
      <c r="C863" s="29"/>
      <c r="D863" s="29"/>
      <c r="E863" s="37"/>
      <c r="F863" s="37"/>
      <c r="G863" s="37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 ht="11.25" customHeight="1">
      <c r="A864" s="29"/>
      <c r="B864" s="37"/>
      <c r="C864" s="29"/>
      <c r="D864" s="29"/>
      <c r="E864" s="37"/>
      <c r="F864" s="37"/>
      <c r="G864" s="37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 ht="11.25" customHeight="1">
      <c r="A865" s="29"/>
      <c r="B865" s="37"/>
      <c r="C865" s="29"/>
      <c r="D865" s="29"/>
      <c r="E865" s="37"/>
      <c r="F865" s="37"/>
      <c r="G865" s="37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 ht="11.25" customHeight="1">
      <c r="A866" s="29"/>
      <c r="B866" s="37"/>
      <c r="C866" s="29"/>
      <c r="D866" s="29"/>
      <c r="E866" s="37"/>
      <c r="F866" s="37"/>
      <c r="G866" s="37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 ht="11.25" customHeight="1">
      <c r="A867" s="29"/>
      <c r="B867" s="37"/>
      <c r="C867" s="29"/>
      <c r="D867" s="29"/>
      <c r="E867" s="37"/>
      <c r="F867" s="37"/>
      <c r="G867" s="37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 ht="11.25" customHeight="1">
      <c r="A868" s="29"/>
      <c r="B868" s="37"/>
      <c r="C868" s="29"/>
      <c r="D868" s="29"/>
      <c r="E868" s="37"/>
      <c r="F868" s="37"/>
      <c r="G868" s="37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 ht="11.25" customHeight="1">
      <c r="A869" s="29"/>
      <c r="B869" s="37"/>
      <c r="C869" s="29"/>
      <c r="D869" s="29"/>
      <c r="E869" s="37"/>
      <c r="F869" s="37"/>
      <c r="G869" s="37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 ht="11.25" customHeight="1">
      <c r="A870" s="29"/>
      <c r="B870" s="37"/>
      <c r="C870" s="29"/>
      <c r="D870" s="29"/>
      <c r="E870" s="37"/>
      <c r="F870" s="37"/>
      <c r="G870" s="37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 ht="11.25" customHeight="1">
      <c r="A871" s="29"/>
      <c r="B871" s="37"/>
      <c r="C871" s="29"/>
      <c r="D871" s="29"/>
      <c r="E871" s="37"/>
      <c r="F871" s="37"/>
      <c r="G871" s="37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 ht="11.25" customHeight="1">
      <c r="A872" s="29"/>
      <c r="B872" s="37"/>
      <c r="C872" s="29"/>
      <c r="D872" s="29"/>
      <c r="E872" s="37"/>
      <c r="F872" s="37"/>
      <c r="G872" s="37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 ht="11.25" customHeight="1">
      <c r="A873" s="29"/>
      <c r="B873" s="37"/>
      <c r="C873" s="29"/>
      <c r="D873" s="29"/>
      <c r="E873" s="37"/>
      <c r="F873" s="37"/>
      <c r="G873" s="37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 ht="11.25" customHeight="1">
      <c r="A874" s="29"/>
      <c r="B874" s="37"/>
      <c r="C874" s="29"/>
      <c r="D874" s="29"/>
      <c r="E874" s="37"/>
      <c r="F874" s="37"/>
      <c r="G874" s="37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 ht="11.25" customHeight="1">
      <c r="A875" s="29"/>
      <c r="B875" s="37"/>
      <c r="C875" s="29"/>
      <c r="D875" s="29"/>
      <c r="E875" s="37"/>
      <c r="F875" s="37"/>
      <c r="G875" s="37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 ht="11.25" customHeight="1">
      <c r="A876" s="29"/>
      <c r="B876" s="37"/>
      <c r="C876" s="29"/>
      <c r="D876" s="29"/>
      <c r="E876" s="37"/>
      <c r="F876" s="37"/>
      <c r="G876" s="37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 ht="11.25" customHeight="1">
      <c r="A877" s="29"/>
      <c r="B877" s="37"/>
      <c r="C877" s="29"/>
      <c r="D877" s="29"/>
      <c r="E877" s="37"/>
      <c r="F877" s="37"/>
      <c r="G877" s="37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 ht="11.25" customHeight="1">
      <c r="A878" s="29"/>
      <c r="B878" s="37"/>
      <c r="C878" s="29"/>
      <c r="D878" s="29"/>
      <c r="E878" s="37"/>
      <c r="F878" s="37"/>
      <c r="G878" s="37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 ht="11.25" customHeight="1">
      <c r="A879" s="29"/>
      <c r="B879" s="37"/>
      <c r="C879" s="29"/>
      <c r="D879" s="29"/>
      <c r="E879" s="37"/>
      <c r="F879" s="37"/>
      <c r="G879" s="37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 ht="11.25" customHeight="1">
      <c r="A880" s="29"/>
      <c r="B880" s="37"/>
      <c r="C880" s="29"/>
      <c r="D880" s="29"/>
      <c r="E880" s="37"/>
      <c r="F880" s="37"/>
      <c r="G880" s="37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 ht="11.25" customHeight="1">
      <c r="A881" s="29"/>
      <c r="B881" s="37"/>
      <c r="C881" s="29"/>
      <c r="D881" s="29"/>
      <c r="E881" s="37"/>
      <c r="F881" s="37"/>
      <c r="G881" s="37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 ht="11.25" customHeight="1">
      <c r="A882" s="29"/>
      <c r="B882" s="37"/>
      <c r="C882" s="29"/>
      <c r="D882" s="29"/>
      <c r="E882" s="37"/>
      <c r="F882" s="37"/>
      <c r="G882" s="37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  <row r="883" ht="11.25" customHeight="1">
      <c r="A883" s="29"/>
      <c r="B883" s="37"/>
      <c r="C883" s="29"/>
      <c r="D883" s="29"/>
      <c r="E883" s="37"/>
      <c r="F883" s="37"/>
      <c r="G883" s="37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 ht="11.25" customHeight="1">
      <c r="A884" s="29"/>
      <c r="B884" s="37"/>
      <c r="C884" s="29"/>
      <c r="D884" s="29"/>
      <c r="E884" s="37"/>
      <c r="F884" s="37"/>
      <c r="G884" s="37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 ht="11.25" customHeight="1">
      <c r="A885" s="29"/>
      <c r="B885" s="37"/>
      <c r="C885" s="29"/>
      <c r="D885" s="29"/>
      <c r="E885" s="37"/>
      <c r="F885" s="37"/>
      <c r="G885" s="37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 ht="11.25" customHeight="1">
      <c r="A886" s="29"/>
      <c r="B886" s="37"/>
      <c r="C886" s="29"/>
      <c r="D886" s="29"/>
      <c r="E886" s="37"/>
      <c r="F886" s="37"/>
      <c r="G886" s="37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 ht="11.25" customHeight="1">
      <c r="A887" s="29"/>
      <c r="B887" s="37"/>
      <c r="C887" s="29"/>
      <c r="D887" s="29"/>
      <c r="E887" s="37"/>
      <c r="F887" s="37"/>
      <c r="G887" s="37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 ht="11.25" customHeight="1">
      <c r="A888" s="29"/>
      <c r="B888" s="37"/>
      <c r="C888" s="29"/>
      <c r="D888" s="29"/>
      <c r="E888" s="37"/>
      <c r="F888" s="37"/>
      <c r="G888" s="37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  <row r="889" ht="11.25" customHeight="1">
      <c r="A889" s="29"/>
      <c r="B889" s="37"/>
      <c r="C889" s="29"/>
      <c r="D889" s="29"/>
      <c r="E889" s="37"/>
      <c r="F889" s="37"/>
      <c r="G889" s="37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</row>
    <row r="890" ht="11.25" customHeight="1">
      <c r="A890" s="29"/>
      <c r="B890" s="37"/>
      <c r="C890" s="29"/>
      <c r="D890" s="29"/>
      <c r="E890" s="37"/>
      <c r="F890" s="37"/>
      <c r="G890" s="37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</row>
    <row r="891" ht="11.25" customHeight="1">
      <c r="A891" s="29"/>
      <c r="B891" s="37"/>
      <c r="C891" s="29"/>
      <c r="D891" s="29"/>
      <c r="E891" s="37"/>
      <c r="F891" s="37"/>
      <c r="G891" s="37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</row>
    <row r="892" ht="11.25" customHeight="1">
      <c r="A892" s="29"/>
      <c r="B892" s="37"/>
      <c r="C892" s="29"/>
      <c r="D892" s="29"/>
      <c r="E892" s="37"/>
      <c r="F892" s="37"/>
      <c r="G892" s="37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</row>
    <row r="893" ht="11.25" customHeight="1">
      <c r="A893" s="29"/>
      <c r="B893" s="37"/>
      <c r="C893" s="29"/>
      <c r="D893" s="29"/>
      <c r="E893" s="37"/>
      <c r="F893" s="37"/>
      <c r="G893" s="37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</row>
    <row r="894" ht="11.25" customHeight="1">
      <c r="A894" s="29"/>
      <c r="B894" s="37"/>
      <c r="C894" s="29"/>
      <c r="D894" s="29"/>
      <c r="E894" s="37"/>
      <c r="F894" s="37"/>
      <c r="G894" s="37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</row>
    <row r="895" ht="11.25" customHeight="1">
      <c r="A895" s="29"/>
      <c r="B895" s="37"/>
      <c r="C895" s="29"/>
      <c r="D895" s="29"/>
      <c r="E895" s="37"/>
      <c r="F895" s="37"/>
      <c r="G895" s="37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</row>
    <row r="896" ht="11.25" customHeight="1">
      <c r="A896" s="29"/>
      <c r="B896" s="37"/>
      <c r="C896" s="29"/>
      <c r="D896" s="29"/>
      <c r="E896" s="37"/>
      <c r="F896" s="37"/>
      <c r="G896" s="37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</row>
    <row r="897" ht="11.25" customHeight="1">
      <c r="A897" s="29"/>
      <c r="B897" s="37"/>
      <c r="C897" s="29"/>
      <c r="D897" s="29"/>
      <c r="E897" s="37"/>
      <c r="F897" s="37"/>
      <c r="G897" s="37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</row>
    <row r="898" ht="11.25" customHeight="1">
      <c r="A898" s="29"/>
      <c r="B898" s="37"/>
      <c r="C898" s="29"/>
      <c r="D898" s="29"/>
      <c r="E898" s="37"/>
      <c r="F898" s="37"/>
      <c r="G898" s="37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</row>
    <row r="899" ht="11.25" customHeight="1">
      <c r="A899" s="29"/>
      <c r="B899" s="37"/>
      <c r="C899" s="29"/>
      <c r="D899" s="29"/>
      <c r="E899" s="37"/>
      <c r="F899" s="37"/>
      <c r="G899" s="37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</row>
    <row r="900" ht="11.25" customHeight="1">
      <c r="A900" s="29"/>
      <c r="B900" s="37"/>
      <c r="C900" s="29"/>
      <c r="D900" s="29"/>
      <c r="E900" s="37"/>
      <c r="F900" s="37"/>
      <c r="G900" s="37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</row>
    <row r="901" ht="11.25" customHeight="1">
      <c r="A901" s="29"/>
      <c r="B901" s="37"/>
      <c r="C901" s="29"/>
      <c r="D901" s="29"/>
      <c r="E901" s="37"/>
      <c r="F901" s="37"/>
      <c r="G901" s="37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</row>
    <row r="902" ht="11.25" customHeight="1">
      <c r="A902" s="29"/>
      <c r="B902" s="37"/>
      <c r="C902" s="29"/>
      <c r="D902" s="29"/>
      <c r="E902" s="37"/>
      <c r="F902" s="37"/>
      <c r="G902" s="37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</row>
    <row r="903" ht="11.25" customHeight="1">
      <c r="A903" s="29"/>
      <c r="B903" s="37"/>
      <c r="C903" s="29"/>
      <c r="D903" s="29"/>
      <c r="E903" s="37"/>
      <c r="F903" s="37"/>
      <c r="G903" s="37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</row>
    <row r="904" ht="11.25" customHeight="1">
      <c r="A904" s="29"/>
      <c r="B904" s="37"/>
      <c r="C904" s="29"/>
      <c r="D904" s="29"/>
      <c r="E904" s="37"/>
      <c r="F904" s="37"/>
      <c r="G904" s="37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</row>
    <row r="905" ht="11.25" customHeight="1">
      <c r="A905" s="29"/>
      <c r="B905" s="37"/>
      <c r="C905" s="29"/>
      <c r="D905" s="29"/>
      <c r="E905" s="37"/>
      <c r="F905" s="37"/>
      <c r="G905" s="37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</row>
    <row r="906" ht="11.25" customHeight="1">
      <c r="A906" s="29"/>
      <c r="B906" s="37"/>
      <c r="C906" s="29"/>
      <c r="D906" s="29"/>
      <c r="E906" s="37"/>
      <c r="F906" s="37"/>
      <c r="G906" s="37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</row>
    <row r="907" ht="11.25" customHeight="1">
      <c r="A907" s="29"/>
      <c r="B907" s="37"/>
      <c r="C907" s="29"/>
      <c r="D907" s="29"/>
      <c r="E907" s="37"/>
      <c r="F907" s="37"/>
      <c r="G907" s="37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</row>
    <row r="908" ht="11.25" customHeight="1">
      <c r="A908" s="29"/>
      <c r="B908" s="37"/>
      <c r="C908" s="29"/>
      <c r="D908" s="29"/>
      <c r="E908" s="37"/>
      <c r="F908" s="37"/>
      <c r="G908" s="37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</row>
    <row r="909" ht="11.25" customHeight="1">
      <c r="A909" s="29"/>
      <c r="B909" s="37"/>
      <c r="C909" s="29"/>
      <c r="D909" s="29"/>
      <c r="E909" s="37"/>
      <c r="F909" s="37"/>
      <c r="G909" s="37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</row>
    <row r="910" ht="11.25" customHeight="1">
      <c r="A910" s="29"/>
      <c r="B910" s="37"/>
      <c r="C910" s="29"/>
      <c r="D910" s="29"/>
      <c r="E910" s="37"/>
      <c r="F910" s="37"/>
      <c r="G910" s="37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</row>
    <row r="911" ht="11.25" customHeight="1">
      <c r="A911" s="29"/>
      <c r="B911" s="37"/>
      <c r="C911" s="29"/>
      <c r="D911" s="29"/>
      <c r="E911" s="37"/>
      <c r="F911" s="37"/>
      <c r="G911" s="37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</row>
    <row r="912" ht="11.25" customHeight="1">
      <c r="A912" s="29"/>
      <c r="B912" s="37"/>
      <c r="C912" s="29"/>
      <c r="D912" s="29"/>
      <c r="E912" s="37"/>
      <c r="F912" s="37"/>
      <c r="G912" s="37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</row>
    <row r="913" ht="11.25" customHeight="1">
      <c r="A913" s="29"/>
      <c r="B913" s="37"/>
      <c r="C913" s="29"/>
      <c r="D913" s="29"/>
      <c r="E913" s="37"/>
      <c r="F913" s="37"/>
      <c r="G913" s="37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</row>
    <row r="914" ht="11.25" customHeight="1">
      <c r="A914" s="29"/>
      <c r="B914" s="37"/>
      <c r="C914" s="29"/>
      <c r="D914" s="29"/>
      <c r="E914" s="37"/>
      <c r="F914" s="37"/>
      <c r="G914" s="37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</row>
    <row r="915" ht="11.25" customHeight="1">
      <c r="A915" s="29"/>
      <c r="B915" s="37"/>
      <c r="C915" s="29"/>
      <c r="D915" s="29"/>
      <c r="E915" s="37"/>
      <c r="F915" s="37"/>
      <c r="G915" s="37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</row>
    <row r="916" ht="11.25" customHeight="1">
      <c r="A916" s="29"/>
      <c r="B916" s="37"/>
      <c r="C916" s="29"/>
      <c r="D916" s="29"/>
      <c r="E916" s="37"/>
      <c r="F916" s="37"/>
      <c r="G916" s="37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</row>
    <row r="917" ht="11.25" customHeight="1">
      <c r="A917" s="29"/>
      <c r="B917" s="37"/>
      <c r="C917" s="29"/>
      <c r="D917" s="29"/>
      <c r="E917" s="37"/>
      <c r="F917" s="37"/>
      <c r="G917" s="37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</row>
    <row r="918" ht="11.25" customHeight="1">
      <c r="A918" s="29"/>
      <c r="B918" s="37"/>
      <c r="C918" s="29"/>
      <c r="D918" s="29"/>
      <c r="E918" s="37"/>
      <c r="F918" s="37"/>
      <c r="G918" s="37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</row>
    <row r="919" ht="11.25" customHeight="1">
      <c r="A919" s="29"/>
      <c r="B919" s="37"/>
      <c r="C919" s="29"/>
      <c r="D919" s="29"/>
      <c r="E919" s="37"/>
      <c r="F919" s="37"/>
      <c r="G919" s="37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</row>
    <row r="920" ht="11.25" customHeight="1">
      <c r="A920" s="29"/>
      <c r="B920" s="37"/>
      <c r="C920" s="29"/>
      <c r="D920" s="29"/>
      <c r="E920" s="37"/>
      <c r="F920" s="37"/>
      <c r="G920" s="37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</row>
    <row r="921" ht="11.25" customHeight="1">
      <c r="A921" s="29"/>
      <c r="B921" s="37"/>
      <c r="C921" s="29"/>
      <c r="D921" s="29"/>
      <c r="E921" s="37"/>
      <c r="F921" s="37"/>
      <c r="G921" s="37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</row>
    <row r="922" ht="11.25" customHeight="1">
      <c r="A922" s="29"/>
      <c r="B922" s="37"/>
      <c r="C922" s="29"/>
      <c r="D922" s="29"/>
      <c r="E922" s="37"/>
      <c r="F922" s="37"/>
      <c r="G922" s="37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</row>
    <row r="923" ht="11.25" customHeight="1">
      <c r="A923" s="29"/>
      <c r="B923" s="37"/>
      <c r="C923" s="29"/>
      <c r="D923" s="29"/>
      <c r="E923" s="37"/>
      <c r="F923" s="37"/>
      <c r="G923" s="37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</row>
    <row r="924" ht="11.25" customHeight="1">
      <c r="A924" s="29"/>
      <c r="B924" s="37"/>
      <c r="C924" s="29"/>
      <c r="D924" s="29"/>
      <c r="E924" s="37"/>
      <c r="F924" s="37"/>
      <c r="G924" s="37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</row>
    <row r="925" ht="11.25" customHeight="1">
      <c r="A925" s="29"/>
      <c r="B925" s="37"/>
      <c r="C925" s="29"/>
      <c r="D925" s="29"/>
      <c r="E925" s="37"/>
      <c r="F925" s="37"/>
      <c r="G925" s="37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</row>
    <row r="926" ht="11.25" customHeight="1">
      <c r="A926" s="29"/>
      <c r="B926" s="37"/>
      <c r="C926" s="29"/>
      <c r="D926" s="29"/>
      <c r="E926" s="37"/>
      <c r="F926" s="37"/>
      <c r="G926" s="37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</row>
    <row r="927" ht="11.25" customHeight="1">
      <c r="A927" s="29"/>
      <c r="B927" s="37"/>
      <c r="C927" s="29"/>
      <c r="D927" s="29"/>
      <c r="E927" s="37"/>
      <c r="F927" s="37"/>
      <c r="G927" s="37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</row>
    <row r="928" ht="11.25" customHeight="1">
      <c r="A928" s="29"/>
      <c r="B928" s="37"/>
      <c r="C928" s="29"/>
      <c r="D928" s="29"/>
      <c r="E928" s="37"/>
      <c r="F928" s="37"/>
      <c r="G928" s="37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</row>
    <row r="929" ht="11.25" customHeight="1">
      <c r="A929" s="29"/>
      <c r="B929" s="37"/>
      <c r="C929" s="29"/>
      <c r="D929" s="29"/>
      <c r="E929" s="37"/>
      <c r="F929" s="37"/>
      <c r="G929" s="37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</row>
    <row r="930" ht="11.25" customHeight="1">
      <c r="A930" s="29"/>
      <c r="B930" s="37"/>
      <c r="C930" s="29"/>
      <c r="D930" s="29"/>
      <c r="E930" s="37"/>
      <c r="F930" s="37"/>
      <c r="G930" s="37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</row>
    <row r="931" ht="11.25" customHeight="1">
      <c r="A931" s="29"/>
      <c r="B931" s="37"/>
      <c r="C931" s="29"/>
      <c r="D931" s="29"/>
      <c r="E931" s="37"/>
      <c r="F931" s="37"/>
      <c r="G931" s="37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</row>
    <row r="932" ht="11.25" customHeight="1">
      <c r="A932" s="29"/>
      <c r="B932" s="37"/>
      <c r="C932" s="29"/>
      <c r="D932" s="29"/>
      <c r="E932" s="37"/>
      <c r="F932" s="37"/>
      <c r="G932" s="37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</row>
    <row r="933" ht="11.25" customHeight="1">
      <c r="A933" s="29"/>
      <c r="B933" s="37"/>
      <c r="C933" s="29"/>
      <c r="D933" s="29"/>
      <c r="E933" s="37"/>
      <c r="F933" s="37"/>
      <c r="G933" s="37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</row>
    <row r="934" ht="11.25" customHeight="1">
      <c r="A934" s="29"/>
      <c r="B934" s="37"/>
      <c r="C934" s="29"/>
      <c r="D934" s="29"/>
      <c r="E934" s="37"/>
      <c r="F934" s="37"/>
      <c r="G934" s="37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</row>
    <row r="935" ht="11.25" customHeight="1">
      <c r="A935" s="29"/>
      <c r="B935" s="37"/>
      <c r="C935" s="29"/>
      <c r="D935" s="29"/>
      <c r="E935" s="37"/>
      <c r="F935" s="37"/>
      <c r="G935" s="37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</row>
    <row r="936" ht="11.25" customHeight="1">
      <c r="A936" s="29"/>
      <c r="B936" s="37"/>
      <c r="C936" s="29"/>
      <c r="D936" s="29"/>
      <c r="E936" s="37"/>
      <c r="F936" s="37"/>
      <c r="G936" s="37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</row>
    <row r="937" ht="11.25" customHeight="1">
      <c r="A937" s="29"/>
      <c r="B937" s="37"/>
      <c r="C937" s="29"/>
      <c r="D937" s="29"/>
      <c r="E937" s="37"/>
      <c r="F937" s="37"/>
      <c r="G937" s="37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</row>
    <row r="938" ht="11.25" customHeight="1">
      <c r="A938" s="29"/>
      <c r="B938" s="37"/>
      <c r="C938" s="29"/>
      <c r="D938" s="29"/>
      <c r="E938" s="37"/>
      <c r="F938" s="37"/>
      <c r="G938" s="37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</row>
    <row r="939" ht="11.25" customHeight="1">
      <c r="A939" s="29"/>
      <c r="B939" s="37"/>
      <c r="C939" s="29"/>
      <c r="D939" s="29"/>
      <c r="E939" s="37"/>
      <c r="F939" s="37"/>
      <c r="G939" s="37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</row>
    <row r="940" ht="11.25" customHeight="1">
      <c r="A940" s="29"/>
      <c r="B940" s="37"/>
      <c r="C940" s="29"/>
      <c r="D940" s="29"/>
      <c r="E940" s="37"/>
      <c r="F940" s="37"/>
      <c r="G940" s="37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</row>
    <row r="941" ht="11.25" customHeight="1">
      <c r="A941" s="29"/>
      <c r="B941" s="37"/>
      <c r="C941" s="29"/>
      <c r="D941" s="29"/>
      <c r="E941" s="37"/>
      <c r="F941" s="37"/>
      <c r="G941" s="37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</row>
    <row r="942" ht="11.25" customHeight="1">
      <c r="A942" s="29"/>
      <c r="B942" s="37"/>
      <c r="C942" s="29"/>
      <c r="D942" s="29"/>
      <c r="E942" s="37"/>
      <c r="F942" s="37"/>
      <c r="G942" s="37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</row>
    <row r="943" ht="11.25" customHeight="1">
      <c r="A943" s="29"/>
      <c r="B943" s="37"/>
      <c r="C943" s="29"/>
      <c r="D943" s="29"/>
      <c r="E943" s="37"/>
      <c r="F943" s="37"/>
      <c r="G943" s="37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</row>
    <row r="944" ht="11.25" customHeight="1">
      <c r="A944" s="29"/>
      <c r="B944" s="37"/>
      <c r="C944" s="29"/>
      <c r="D944" s="29"/>
      <c r="E944" s="37"/>
      <c r="F944" s="37"/>
      <c r="G944" s="37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</row>
    <row r="945" ht="11.25" customHeight="1">
      <c r="A945" s="29"/>
      <c r="B945" s="37"/>
      <c r="C945" s="29"/>
      <c r="D945" s="29"/>
      <c r="E945" s="37"/>
      <c r="F945" s="37"/>
      <c r="G945" s="37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</row>
    <row r="946" ht="11.25" customHeight="1">
      <c r="A946" s="29"/>
      <c r="B946" s="37"/>
      <c r="C946" s="29"/>
      <c r="D946" s="29"/>
      <c r="E946" s="37"/>
      <c r="F946" s="37"/>
      <c r="G946" s="37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</row>
    <row r="947" ht="11.25" customHeight="1">
      <c r="A947" s="29"/>
      <c r="B947" s="37"/>
      <c r="C947" s="29"/>
      <c r="D947" s="29"/>
      <c r="E947" s="37"/>
      <c r="F947" s="37"/>
      <c r="G947" s="37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</row>
    <row r="948" ht="11.25" customHeight="1">
      <c r="A948" s="29"/>
      <c r="B948" s="37"/>
      <c r="C948" s="29"/>
      <c r="D948" s="29"/>
      <c r="E948" s="37"/>
      <c r="F948" s="37"/>
      <c r="G948" s="37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</row>
    <row r="949" ht="11.25" customHeight="1">
      <c r="A949" s="29"/>
      <c r="B949" s="37"/>
      <c r="C949" s="29"/>
      <c r="D949" s="29"/>
      <c r="E949" s="37"/>
      <c r="F949" s="37"/>
      <c r="G949" s="37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</row>
    <row r="950" ht="11.25" customHeight="1">
      <c r="A950" s="29"/>
      <c r="B950" s="37"/>
      <c r="C950" s="29"/>
      <c r="D950" s="29"/>
      <c r="E950" s="37"/>
      <c r="F950" s="37"/>
      <c r="G950" s="37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</row>
    <row r="951" ht="11.25" customHeight="1">
      <c r="A951" s="29"/>
      <c r="B951" s="37"/>
      <c r="C951" s="29"/>
      <c r="D951" s="29"/>
      <c r="E951" s="37"/>
      <c r="F951" s="37"/>
      <c r="G951" s="37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</row>
    <row r="952" ht="11.25" customHeight="1">
      <c r="A952" s="29"/>
      <c r="B952" s="37"/>
      <c r="C952" s="29"/>
      <c r="D952" s="29"/>
      <c r="E952" s="37"/>
      <c r="F952" s="37"/>
      <c r="G952" s="37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</row>
    <row r="953" ht="11.25" customHeight="1">
      <c r="A953" s="29"/>
      <c r="B953" s="37"/>
      <c r="C953" s="29"/>
      <c r="D953" s="29"/>
      <c r="E953" s="37"/>
      <c r="F953" s="37"/>
      <c r="G953" s="37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</row>
    <row r="954" ht="11.25" customHeight="1">
      <c r="A954" s="29"/>
      <c r="B954" s="37"/>
      <c r="C954" s="29"/>
      <c r="D954" s="29"/>
      <c r="E954" s="37"/>
      <c r="F954" s="37"/>
      <c r="G954" s="37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</row>
    <row r="955" ht="11.25" customHeight="1">
      <c r="A955" s="29"/>
      <c r="B955" s="37"/>
      <c r="C955" s="29"/>
      <c r="D955" s="29"/>
      <c r="E955" s="37"/>
      <c r="F955" s="37"/>
      <c r="G955" s="37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</row>
    <row r="956" ht="11.25" customHeight="1">
      <c r="A956" s="29"/>
      <c r="B956" s="37"/>
      <c r="C956" s="29"/>
      <c r="D956" s="29"/>
      <c r="E956" s="37"/>
      <c r="F956" s="37"/>
      <c r="G956" s="37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</row>
    <row r="957" ht="11.25" customHeight="1">
      <c r="A957" s="29"/>
      <c r="B957" s="37"/>
      <c r="C957" s="29"/>
      <c r="D957" s="29"/>
      <c r="E957" s="37"/>
      <c r="F957" s="37"/>
      <c r="G957" s="37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</row>
    <row r="958" ht="11.25" customHeight="1">
      <c r="A958" s="29"/>
      <c r="B958" s="37"/>
      <c r="C958" s="29"/>
      <c r="D958" s="29"/>
      <c r="E958" s="37"/>
      <c r="F958" s="37"/>
      <c r="G958" s="37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</row>
    <row r="959" ht="11.25" customHeight="1">
      <c r="A959" s="29"/>
      <c r="B959" s="37"/>
      <c r="C959" s="29"/>
      <c r="D959" s="29"/>
      <c r="E959" s="37"/>
      <c r="F959" s="37"/>
      <c r="G959" s="37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</row>
    <row r="960" ht="11.25" customHeight="1">
      <c r="A960" s="29"/>
      <c r="B960" s="37"/>
      <c r="C960" s="29"/>
      <c r="D960" s="29"/>
      <c r="E960" s="37"/>
      <c r="F960" s="37"/>
      <c r="G960" s="37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</row>
    <row r="961" ht="11.25" customHeight="1">
      <c r="A961" s="29"/>
      <c r="B961" s="37"/>
      <c r="C961" s="29"/>
      <c r="D961" s="29"/>
      <c r="E961" s="37"/>
      <c r="F961" s="37"/>
      <c r="G961" s="37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</row>
    <row r="962" ht="11.25" customHeight="1">
      <c r="A962" s="29"/>
      <c r="B962" s="37"/>
      <c r="C962" s="29"/>
      <c r="D962" s="29"/>
      <c r="E962" s="37"/>
      <c r="F962" s="37"/>
      <c r="G962" s="37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</row>
    <row r="963" ht="11.25" customHeight="1">
      <c r="A963" s="29"/>
      <c r="B963" s="37"/>
      <c r="C963" s="29"/>
      <c r="D963" s="29"/>
      <c r="E963" s="37"/>
      <c r="F963" s="37"/>
      <c r="G963" s="37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</row>
    <row r="964" ht="11.25" customHeight="1">
      <c r="A964" s="29"/>
      <c r="B964" s="37"/>
      <c r="C964" s="29"/>
      <c r="D964" s="29"/>
      <c r="E964" s="37"/>
      <c r="F964" s="37"/>
      <c r="G964" s="37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</row>
    <row r="965" ht="11.25" customHeight="1">
      <c r="A965" s="29"/>
      <c r="B965" s="37"/>
      <c r="C965" s="29"/>
      <c r="D965" s="29"/>
      <c r="E965" s="37"/>
      <c r="F965" s="37"/>
      <c r="G965" s="37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</row>
    <row r="966" ht="11.25" customHeight="1">
      <c r="A966" s="29"/>
      <c r="B966" s="37"/>
      <c r="C966" s="29"/>
      <c r="D966" s="29"/>
      <c r="E966" s="37"/>
      <c r="F966" s="37"/>
      <c r="G966" s="37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</row>
    <row r="967" ht="11.25" customHeight="1">
      <c r="A967" s="29"/>
      <c r="B967" s="37"/>
      <c r="C967" s="29"/>
      <c r="D967" s="29"/>
      <c r="E967" s="37"/>
      <c r="F967" s="37"/>
      <c r="G967" s="37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</row>
    <row r="968" ht="11.25" customHeight="1">
      <c r="A968" s="29"/>
      <c r="B968" s="37"/>
      <c r="C968" s="29"/>
      <c r="D968" s="29"/>
      <c r="E968" s="37"/>
      <c r="F968" s="37"/>
      <c r="G968" s="37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</row>
    <row r="969" ht="11.25" customHeight="1">
      <c r="A969" s="29"/>
      <c r="B969" s="37"/>
      <c r="C969" s="29"/>
      <c r="D969" s="29"/>
      <c r="E969" s="37"/>
      <c r="F969" s="37"/>
      <c r="G969" s="37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</row>
    <row r="970" ht="11.25" customHeight="1">
      <c r="A970" s="29"/>
      <c r="B970" s="37"/>
      <c r="C970" s="29"/>
      <c r="D970" s="29"/>
      <c r="E970" s="37"/>
      <c r="F970" s="37"/>
      <c r="G970" s="37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</row>
    <row r="971" ht="11.25" customHeight="1">
      <c r="A971" s="29"/>
      <c r="B971" s="37"/>
      <c r="C971" s="29"/>
      <c r="D971" s="29"/>
      <c r="E971" s="37"/>
      <c r="F971" s="37"/>
      <c r="G971" s="37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</row>
    <row r="972" ht="11.25" customHeight="1">
      <c r="A972" s="29"/>
      <c r="B972" s="37"/>
      <c r="C972" s="29"/>
      <c r="D972" s="29"/>
      <c r="E972" s="37"/>
      <c r="F972" s="37"/>
      <c r="G972" s="37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</row>
    <row r="973" ht="11.25" customHeight="1">
      <c r="A973" s="29"/>
      <c r="B973" s="37"/>
      <c r="C973" s="29"/>
      <c r="D973" s="29"/>
      <c r="E973" s="37"/>
      <c r="F973" s="37"/>
      <c r="G973" s="37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</row>
    <row r="974" ht="11.25" customHeight="1">
      <c r="A974" s="29"/>
      <c r="B974" s="37"/>
      <c r="C974" s="29"/>
      <c r="D974" s="29"/>
      <c r="E974" s="37"/>
      <c r="F974" s="37"/>
      <c r="G974" s="37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</row>
    <row r="975" ht="11.25" customHeight="1">
      <c r="A975" s="29"/>
      <c r="B975" s="37"/>
      <c r="C975" s="29"/>
      <c r="D975" s="29"/>
      <c r="E975" s="37"/>
      <c r="F975" s="37"/>
      <c r="G975" s="37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</row>
    <row r="976" ht="11.25" customHeight="1">
      <c r="A976" s="29"/>
      <c r="B976" s="37"/>
      <c r="C976" s="29"/>
      <c r="D976" s="29"/>
      <c r="E976" s="37"/>
      <c r="F976" s="37"/>
      <c r="G976" s="37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</row>
    <row r="977" ht="11.25" customHeight="1">
      <c r="A977" s="29"/>
      <c r="B977" s="37"/>
      <c r="C977" s="29"/>
      <c r="D977" s="29"/>
      <c r="E977" s="37"/>
      <c r="F977" s="37"/>
      <c r="G977" s="37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</row>
    <row r="978" ht="11.25" customHeight="1">
      <c r="A978" s="29"/>
      <c r="B978" s="37"/>
      <c r="C978" s="29"/>
      <c r="D978" s="29"/>
      <c r="E978" s="37"/>
      <c r="F978" s="37"/>
      <c r="G978" s="37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</row>
    <row r="979" ht="11.25" customHeight="1">
      <c r="A979" s="29"/>
      <c r="B979" s="37"/>
      <c r="C979" s="29"/>
      <c r="D979" s="29"/>
      <c r="E979" s="37"/>
      <c r="F979" s="37"/>
      <c r="G979" s="37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</row>
    <row r="980" ht="11.25" customHeight="1">
      <c r="A980" s="29"/>
      <c r="B980" s="37"/>
      <c r="C980" s="29"/>
      <c r="D980" s="29"/>
      <c r="E980" s="37"/>
      <c r="F980" s="37"/>
      <c r="G980" s="37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</row>
    <row r="981" ht="11.25" customHeight="1">
      <c r="A981" s="29"/>
      <c r="B981" s="37"/>
      <c r="C981" s="29"/>
      <c r="D981" s="29"/>
      <c r="E981" s="37"/>
      <c r="F981" s="37"/>
      <c r="G981" s="37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</row>
    <row r="982" ht="11.25" customHeight="1">
      <c r="A982" s="29"/>
      <c r="B982" s="37"/>
      <c r="C982" s="29"/>
      <c r="D982" s="29"/>
      <c r="E982" s="37"/>
      <c r="F982" s="37"/>
      <c r="G982" s="37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</row>
    <row r="983" ht="11.25" customHeight="1">
      <c r="A983" s="29"/>
      <c r="B983" s="37"/>
      <c r="C983" s="29"/>
      <c r="D983" s="29"/>
      <c r="E983" s="37"/>
      <c r="F983" s="37"/>
      <c r="G983" s="37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</row>
    <row r="984" ht="11.25" customHeight="1">
      <c r="A984" s="29"/>
      <c r="B984" s="37"/>
      <c r="C984" s="29"/>
      <c r="D984" s="29"/>
      <c r="E984" s="37"/>
      <c r="F984" s="37"/>
      <c r="G984" s="37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</row>
    <row r="985" ht="11.25" customHeight="1">
      <c r="A985" s="29"/>
      <c r="B985" s="37"/>
      <c r="C985" s="29"/>
      <c r="D985" s="29"/>
      <c r="E985" s="37"/>
      <c r="F985" s="37"/>
      <c r="G985" s="37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</row>
    <row r="986" ht="11.25" customHeight="1">
      <c r="A986" s="29"/>
      <c r="B986" s="37"/>
      <c r="C986" s="29"/>
      <c r="D986" s="29"/>
      <c r="E986" s="37"/>
      <c r="F986" s="37"/>
      <c r="G986" s="37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</row>
    <row r="987" ht="11.25" customHeight="1">
      <c r="A987" s="29"/>
      <c r="B987" s="37"/>
      <c r="C987" s="29"/>
      <c r="D987" s="29"/>
      <c r="E987" s="37"/>
      <c r="F987" s="37"/>
      <c r="G987" s="37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</row>
    <row r="988" ht="11.25" customHeight="1">
      <c r="A988" s="29"/>
      <c r="B988" s="37"/>
      <c r="C988" s="29"/>
      <c r="D988" s="29"/>
      <c r="E988" s="37"/>
      <c r="F988" s="37"/>
      <c r="G988" s="37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</row>
    <row r="989" ht="11.25" customHeight="1">
      <c r="A989" s="29"/>
      <c r="B989" s="37"/>
      <c r="C989" s="29"/>
      <c r="D989" s="29"/>
      <c r="E989" s="37"/>
      <c r="F989" s="37"/>
      <c r="G989" s="37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</row>
    <row r="990" ht="11.25" customHeight="1">
      <c r="A990" s="29"/>
      <c r="B990" s="37"/>
      <c r="C990" s="29"/>
      <c r="D990" s="29"/>
      <c r="E990" s="37"/>
      <c r="F990" s="37"/>
      <c r="G990" s="37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</row>
    <row r="991" ht="11.25" customHeight="1">
      <c r="A991" s="29"/>
      <c r="B991" s="37"/>
      <c r="C991" s="29"/>
      <c r="D991" s="29"/>
      <c r="E991" s="37"/>
      <c r="F991" s="37"/>
      <c r="G991" s="37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</row>
    <row r="992" ht="11.25" customHeight="1">
      <c r="A992" s="29"/>
      <c r="B992" s="37"/>
      <c r="C992" s="29"/>
      <c r="D992" s="29"/>
      <c r="E992" s="37"/>
      <c r="F992" s="37"/>
      <c r="G992" s="37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</row>
    <row r="993" ht="11.25" customHeight="1">
      <c r="A993" s="29"/>
      <c r="B993" s="37"/>
      <c r="C993" s="29"/>
      <c r="D993" s="29"/>
      <c r="E993" s="37"/>
      <c r="F993" s="37"/>
      <c r="G993" s="37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</row>
    <row r="994" ht="11.25" customHeight="1">
      <c r="A994" s="29"/>
      <c r="B994" s="37"/>
      <c r="C994" s="29"/>
      <c r="D994" s="29"/>
      <c r="E994" s="37"/>
      <c r="F994" s="37"/>
      <c r="G994" s="37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</row>
    <row r="995" ht="11.25" customHeight="1">
      <c r="A995" s="29"/>
      <c r="B995" s="37"/>
      <c r="C995" s="29"/>
      <c r="D995" s="29"/>
      <c r="E995" s="37"/>
      <c r="F995" s="37"/>
      <c r="G995" s="37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</row>
    <row r="996" ht="11.25" customHeight="1">
      <c r="A996" s="29"/>
      <c r="B996" s="37"/>
      <c r="C996" s="29"/>
      <c r="D996" s="29"/>
      <c r="E996" s="37"/>
      <c r="F996" s="37"/>
      <c r="G996" s="37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</row>
    <row r="997" ht="11.25" customHeight="1">
      <c r="A997" s="29"/>
      <c r="B997" s="37"/>
      <c r="C997" s="29"/>
      <c r="D997" s="29"/>
      <c r="E997" s="37"/>
      <c r="F997" s="37"/>
      <c r="G997" s="37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</row>
    <row r="998" ht="11.25" customHeight="1">
      <c r="A998" s="29"/>
      <c r="B998" s="37"/>
      <c r="C998" s="29"/>
      <c r="D998" s="29"/>
      <c r="E998" s="37"/>
      <c r="F998" s="37"/>
      <c r="G998" s="37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</row>
    <row r="999" ht="11.25" customHeight="1">
      <c r="A999" s="29"/>
      <c r="B999" s="37"/>
      <c r="C999" s="29"/>
      <c r="D999" s="29"/>
      <c r="E999" s="37"/>
      <c r="F999" s="37"/>
      <c r="G999" s="37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</row>
    <row r="1000" ht="11.25" customHeight="1">
      <c r="A1000" s="29"/>
      <c r="B1000" s="37"/>
      <c r="C1000" s="29"/>
      <c r="D1000" s="29"/>
      <c r="E1000" s="37"/>
      <c r="F1000" s="37"/>
      <c r="G1000" s="37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</row>
  </sheetData>
  <autoFilter ref="$A$12:$G$44"/>
  <mergeCells count="8">
    <mergeCell ref="A1:P1"/>
    <mergeCell ref="A2:G2"/>
    <mergeCell ref="A3:G3"/>
    <mergeCell ref="A4:G4"/>
    <mergeCell ref="A5:G5"/>
    <mergeCell ref="A7:B7"/>
    <mergeCell ref="A8:G8"/>
    <mergeCell ref="A9:B9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4E78"/>
    <pageSetUpPr/>
  </sheetPr>
  <sheetViews>
    <sheetView showGridLines="0" workbookViewId="0"/>
  </sheetViews>
  <sheetFormatPr customHeight="1" defaultColWidth="12.63" defaultRowHeight="15.0"/>
  <cols>
    <col customWidth="1" min="1" max="1" width="23.63"/>
    <col customWidth="1" min="2" max="2" width="25.75"/>
    <col customWidth="1" min="3" max="3" width="43.75"/>
    <col customWidth="1" min="4" max="4" width="41.75"/>
    <col customWidth="1" min="5" max="5" width="19.75"/>
    <col customWidth="1" min="6" max="7" width="14.75"/>
    <col customWidth="1" min="8" max="26" width="10.88"/>
  </cols>
  <sheetData>
    <row r="1" ht="83.25" customHeight="1">
      <c r="A1" s="13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ht="23.25" customHeight="1">
      <c r="A2" s="1" t="s">
        <v>0</v>
      </c>
      <c r="H2" s="15"/>
      <c r="I2" s="15"/>
      <c r="J2" s="15"/>
      <c r="K2" s="15"/>
      <c r="L2" s="15"/>
      <c r="M2" s="15"/>
      <c r="N2" s="15"/>
      <c r="O2" s="15"/>
      <c r="P2" s="15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ht="23.25" customHeight="1">
      <c r="A3" s="1" t="s">
        <v>1</v>
      </c>
      <c r="H3" s="15"/>
      <c r="I3" s="15"/>
      <c r="J3" s="15"/>
      <c r="K3" s="15"/>
      <c r="L3" s="15"/>
      <c r="M3" s="15"/>
      <c r="N3" s="15"/>
      <c r="O3" s="15"/>
      <c r="P3" s="15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ht="23.25" customHeight="1">
      <c r="A4" s="5" t="s">
        <v>7</v>
      </c>
      <c r="H4" s="15"/>
      <c r="I4" s="15"/>
      <c r="J4" s="15"/>
      <c r="K4" s="15"/>
      <c r="L4" s="15"/>
      <c r="M4" s="15"/>
      <c r="N4" s="15"/>
      <c r="O4" s="15"/>
      <c r="P4" s="15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ht="24.0" customHeight="1">
      <c r="A5" s="6" t="s">
        <v>4</v>
      </c>
      <c r="H5" s="3"/>
      <c r="I5" s="3"/>
      <c r="J5" s="3"/>
      <c r="K5" s="3"/>
      <c r="L5" s="3"/>
      <c r="M5" s="3"/>
      <c r="N5" s="3"/>
      <c r="O5" s="3"/>
      <c r="P5" s="3"/>
      <c r="Q5" s="4"/>
      <c r="R5" s="4"/>
      <c r="S5" s="4"/>
      <c r="T5" s="4"/>
      <c r="U5" s="4"/>
      <c r="V5" s="4"/>
      <c r="W5" s="4"/>
      <c r="X5" s="4"/>
      <c r="Y5" s="4"/>
      <c r="Z5" s="4"/>
    </row>
    <row r="6" ht="13.5" customHeight="1">
      <c r="A6" s="19"/>
      <c r="B6" s="19"/>
      <c r="C6" s="19"/>
      <c r="D6" s="19"/>
      <c r="E6" s="19"/>
      <c r="F6" s="19"/>
      <c r="G6" s="19"/>
      <c r="H6" s="20"/>
      <c r="I6" s="20"/>
      <c r="J6" s="20"/>
      <c r="K6" s="20"/>
      <c r="L6" s="20"/>
      <c r="M6" s="20"/>
      <c r="N6" s="20"/>
      <c r="O6" s="20"/>
      <c r="P6" s="20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ht="23.25" customHeight="1">
      <c r="A7" s="18" t="s">
        <v>8</v>
      </c>
      <c r="C7" s="19"/>
      <c r="D7" s="19"/>
      <c r="E7" s="19"/>
      <c r="F7" s="19"/>
      <c r="G7" s="19"/>
      <c r="H7" s="20"/>
      <c r="I7" s="20"/>
      <c r="J7" s="20"/>
      <c r="K7" s="20"/>
      <c r="L7" s="20"/>
      <c r="M7" s="20"/>
      <c r="N7" s="20"/>
      <c r="O7" s="20"/>
      <c r="P7" s="20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ht="39.0" customHeight="1">
      <c r="A8" s="22" t="s">
        <v>143</v>
      </c>
      <c r="H8" s="13"/>
      <c r="I8" s="13"/>
      <c r="J8" s="13"/>
      <c r="K8" s="13"/>
      <c r="L8" s="13"/>
      <c r="M8" s="13"/>
      <c r="N8" s="13"/>
      <c r="O8" s="13"/>
      <c r="P8" s="13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ht="13.5" customHeight="1">
      <c r="A9" s="39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ht="11.25" customHeight="1">
      <c r="A10" s="18" t="s">
        <v>10</v>
      </c>
      <c r="B10" s="18">
        <v>2.0</v>
      </c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ht="11.25" customHeight="1">
      <c r="A11" s="18" t="s">
        <v>11</v>
      </c>
      <c r="B11" s="18" t="s">
        <v>144</v>
      </c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ht="11.25" customHeight="1">
      <c r="A12" s="40" t="s">
        <v>13</v>
      </c>
      <c r="B12" s="40" t="s">
        <v>14</v>
      </c>
      <c r="C12" s="40" t="s">
        <v>15</v>
      </c>
      <c r="D12" s="40" t="s">
        <v>16</v>
      </c>
      <c r="E12" s="40" t="s">
        <v>17</v>
      </c>
      <c r="F12" s="40" t="s">
        <v>18</v>
      </c>
      <c r="G12" s="40" t="s">
        <v>19</v>
      </c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ht="11.25" customHeight="1">
      <c r="A13" s="27" t="s">
        <v>20</v>
      </c>
      <c r="B13" s="28" t="s">
        <v>21</v>
      </c>
      <c r="C13" s="28" t="s">
        <v>21</v>
      </c>
      <c r="D13" s="28" t="s">
        <v>22</v>
      </c>
      <c r="E13" s="28" t="s">
        <v>23</v>
      </c>
      <c r="F13" s="11" t="s">
        <v>24</v>
      </c>
      <c r="G13" s="11">
        <v>2.0</v>
      </c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11.25" customHeight="1">
      <c r="A14" s="27" t="s">
        <v>25</v>
      </c>
      <c r="B14" s="28" t="s">
        <v>26</v>
      </c>
      <c r="C14" s="28" t="s">
        <v>27</v>
      </c>
      <c r="D14" s="28" t="s">
        <v>28</v>
      </c>
      <c r="E14" s="28" t="s">
        <v>23</v>
      </c>
      <c r="F14" s="11" t="s">
        <v>24</v>
      </c>
      <c r="G14" s="11">
        <v>2.0</v>
      </c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22.5" customHeight="1">
      <c r="A15" s="27" t="s">
        <v>29</v>
      </c>
      <c r="B15" s="28" t="s">
        <v>30</v>
      </c>
      <c r="C15" s="28" t="s">
        <v>31</v>
      </c>
      <c r="D15" s="28" t="s">
        <v>28</v>
      </c>
      <c r="E15" s="28" t="s">
        <v>23</v>
      </c>
      <c r="F15" s="11" t="s">
        <v>24</v>
      </c>
      <c r="G15" s="11">
        <v>7.0</v>
      </c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23.25" customHeight="1">
      <c r="A16" s="27" t="s">
        <v>145</v>
      </c>
      <c r="B16" s="28" t="s">
        <v>146</v>
      </c>
      <c r="C16" s="28" t="s">
        <v>146</v>
      </c>
      <c r="D16" s="28" t="s">
        <v>147</v>
      </c>
      <c r="E16" s="28" t="s">
        <v>23</v>
      </c>
      <c r="F16" s="11" t="s">
        <v>24</v>
      </c>
      <c r="G16" s="11">
        <v>2.0</v>
      </c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11.25" customHeight="1">
      <c r="A17" s="27" t="s">
        <v>148</v>
      </c>
      <c r="B17" s="28" t="s">
        <v>149</v>
      </c>
      <c r="C17" s="28" t="s">
        <v>150</v>
      </c>
      <c r="D17" s="28" t="s">
        <v>151</v>
      </c>
      <c r="E17" s="28" t="s">
        <v>98</v>
      </c>
      <c r="F17" s="11" t="s">
        <v>99</v>
      </c>
      <c r="G17" s="11">
        <v>2.0</v>
      </c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11.25" customHeight="1">
      <c r="A18" s="27" t="s">
        <v>152</v>
      </c>
      <c r="B18" s="28" t="s">
        <v>153</v>
      </c>
      <c r="C18" s="28" t="s">
        <v>154</v>
      </c>
      <c r="D18" s="28" t="s">
        <v>85</v>
      </c>
      <c r="E18" s="28" t="s">
        <v>35</v>
      </c>
      <c r="F18" s="11" t="s">
        <v>36</v>
      </c>
      <c r="G18" s="11">
        <v>1.0</v>
      </c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69.75" customHeight="1">
      <c r="A19" s="27" t="s">
        <v>155</v>
      </c>
      <c r="B19" s="28" t="s">
        <v>156</v>
      </c>
      <c r="C19" s="28" t="s">
        <v>157</v>
      </c>
      <c r="D19" s="28" t="s">
        <v>158</v>
      </c>
      <c r="E19" s="28" t="s">
        <v>35</v>
      </c>
      <c r="F19" s="11" t="s">
        <v>36</v>
      </c>
      <c r="G19" s="11">
        <v>1.0</v>
      </c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73.5" customHeight="1">
      <c r="A20" s="27" t="s">
        <v>159</v>
      </c>
      <c r="B20" s="28" t="s">
        <v>160</v>
      </c>
      <c r="C20" s="28" t="s">
        <v>161</v>
      </c>
      <c r="D20" s="28" t="s">
        <v>158</v>
      </c>
      <c r="E20" s="28" t="s">
        <v>35</v>
      </c>
      <c r="F20" s="11" t="s">
        <v>36</v>
      </c>
      <c r="G20" s="11">
        <v>1.0</v>
      </c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177.75" customHeight="1">
      <c r="A21" s="27" t="s">
        <v>162</v>
      </c>
      <c r="B21" s="28" t="s">
        <v>163</v>
      </c>
      <c r="C21" s="28" t="s">
        <v>164</v>
      </c>
      <c r="D21" s="28" t="s">
        <v>165</v>
      </c>
      <c r="E21" s="28" t="s">
        <v>35</v>
      </c>
      <c r="F21" s="11" t="s">
        <v>36</v>
      </c>
      <c r="G21" s="11">
        <v>1.0</v>
      </c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ht="171.75" customHeight="1">
      <c r="A22" s="27" t="s">
        <v>166</v>
      </c>
      <c r="B22" s="28" t="s">
        <v>167</v>
      </c>
      <c r="C22" s="28" t="s">
        <v>168</v>
      </c>
      <c r="D22" s="28" t="s">
        <v>169</v>
      </c>
      <c r="E22" s="28" t="s">
        <v>35</v>
      </c>
      <c r="F22" s="11" t="s">
        <v>36</v>
      </c>
      <c r="G22" s="11">
        <v>1.0</v>
      </c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ht="11.25" customHeight="1">
      <c r="A23" s="27" t="s">
        <v>170</v>
      </c>
      <c r="B23" s="28" t="s">
        <v>171</v>
      </c>
      <c r="C23" s="28" t="s">
        <v>172</v>
      </c>
      <c r="D23" s="28" t="s">
        <v>85</v>
      </c>
      <c r="E23" s="28" t="s">
        <v>35</v>
      </c>
      <c r="F23" s="11" t="s">
        <v>36</v>
      </c>
      <c r="G23" s="11">
        <v>1.0</v>
      </c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ht="11.25" customHeight="1">
      <c r="A24" s="27" t="s">
        <v>173</v>
      </c>
      <c r="B24" s="28" t="s">
        <v>174</v>
      </c>
      <c r="C24" s="28" t="s">
        <v>175</v>
      </c>
      <c r="D24" s="28" t="s">
        <v>85</v>
      </c>
      <c r="E24" s="28" t="s">
        <v>35</v>
      </c>
      <c r="F24" s="11" t="s">
        <v>36</v>
      </c>
      <c r="G24" s="11">
        <v>1.0</v>
      </c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ht="70.5" customHeight="1">
      <c r="A25" s="27" t="s">
        <v>176</v>
      </c>
      <c r="B25" s="28" t="s">
        <v>177</v>
      </c>
      <c r="C25" s="28" t="s">
        <v>178</v>
      </c>
      <c r="D25" s="28" t="s">
        <v>85</v>
      </c>
      <c r="E25" s="28" t="s">
        <v>35</v>
      </c>
      <c r="F25" s="11" t="s">
        <v>36</v>
      </c>
      <c r="G25" s="11">
        <v>1.0</v>
      </c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ht="11.25" customHeight="1">
      <c r="A26" s="27" t="s">
        <v>179</v>
      </c>
      <c r="B26" s="28" t="s">
        <v>180</v>
      </c>
      <c r="C26" s="28" t="s">
        <v>181</v>
      </c>
      <c r="D26" s="28" t="s">
        <v>85</v>
      </c>
      <c r="E26" s="28" t="s">
        <v>35</v>
      </c>
      <c r="F26" s="11" t="s">
        <v>36</v>
      </c>
      <c r="G26" s="11">
        <v>1.0</v>
      </c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ht="11.25" customHeight="1">
      <c r="A27" s="27" t="s">
        <v>182</v>
      </c>
      <c r="B27" s="28" t="s">
        <v>183</v>
      </c>
      <c r="C27" s="28" t="s">
        <v>184</v>
      </c>
      <c r="D27" s="35" t="s">
        <v>185</v>
      </c>
      <c r="E27" s="28" t="s">
        <v>98</v>
      </c>
      <c r="F27" s="11" t="s">
        <v>99</v>
      </c>
      <c r="G27" s="11">
        <v>2.0</v>
      </c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ht="11.25" customHeight="1">
      <c r="A28" s="27" t="s">
        <v>186</v>
      </c>
      <c r="B28" s="28" t="s">
        <v>187</v>
      </c>
      <c r="C28" s="28" t="s">
        <v>188</v>
      </c>
      <c r="D28" s="28" t="s">
        <v>85</v>
      </c>
      <c r="E28" s="28" t="s">
        <v>35</v>
      </c>
      <c r="F28" s="11" t="s">
        <v>36</v>
      </c>
      <c r="G28" s="11">
        <v>1.0</v>
      </c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ht="11.25" customHeight="1">
      <c r="A29" s="27" t="s">
        <v>189</v>
      </c>
      <c r="B29" s="28" t="s">
        <v>190</v>
      </c>
      <c r="C29" s="28" t="s">
        <v>191</v>
      </c>
      <c r="D29" s="35" t="s">
        <v>185</v>
      </c>
      <c r="E29" s="28" t="s">
        <v>98</v>
      </c>
      <c r="F29" s="11" t="s">
        <v>99</v>
      </c>
      <c r="G29" s="11">
        <v>2.0</v>
      </c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ht="11.25" customHeight="1">
      <c r="A30" s="30" t="s">
        <v>192</v>
      </c>
      <c r="B30" s="31" t="s">
        <v>193</v>
      </c>
      <c r="C30" s="31" t="s">
        <v>194</v>
      </c>
      <c r="D30" s="31" t="s">
        <v>195</v>
      </c>
      <c r="E30" s="31" t="s">
        <v>35</v>
      </c>
      <c r="F30" s="32" t="s">
        <v>36</v>
      </c>
      <c r="G30" s="32">
        <v>1.0</v>
      </c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ht="11.25" customHeight="1">
      <c r="A31" s="30" t="s">
        <v>196</v>
      </c>
      <c r="B31" s="31" t="s">
        <v>197</v>
      </c>
      <c r="C31" s="31" t="s">
        <v>198</v>
      </c>
      <c r="D31" s="31" t="s">
        <v>85</v>
      </c>
      <c r="E31" s="31" t="s">
        <v>35</v>
      </c>
      <c r="F31" s="32" t="s">
        <v>36</v>
      </c>
      <c r="G31" s="32">
        <v>1.0</v>
      </c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ht="11.25" customHeight="1">
      <c r="A32" s="30" t="s">
        <v>199</v>
      </c>
      <c r="B32" s="31" t="s">
        <v>200</v>
      </c>
      <c r="C32" s="31" t="s">
        <v>201</v>
      </c>
      <c r="D32" s="31" t="s">
        <v>85</v>
      </c>
      <c r="E32" s="31" t="s">
        <v>35</v>
      </c>
      <c r="F32" s="32" t="s">
        <v>36</v>
      </c>
      <c r="G32" s="32">
        <v>1.0</v>
      </c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ht="11.25" customHeight="1">
      <c r="A33" s="27" t="s">
        <v>202</v>
      </c>
      <c r="B33" s="28" t="s">
        <v>203</v>
      </c>
      <c r="C33" s="28" t="s">
        <v>204</v>
      </c>
      <c r="D33" s="28" t="s">
        <v>85</v>
      </c>
      <c r="E33" s="28" t="s">
        <v>35</v>
      </c>
      <c r="F33" s="11" t="s">
        <v>36</v>
      </c>
      <c r="G33" s="11">
        <v>1.0</v>
      </c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 ht="11.25" customHeight="1">
      <c r="A34" s="30" t="s">
        <v>205</v>
      </c>
      <c r="B34" s="31" t="s">
        <v>206</v>
      </c>
      <c r="C34" s="31" t="s">
        <v>207</v>
      </c>
      <c r="D34" s="31" t="s">
        <v>85</v>
      </c>
      <c r="E34" s="31" t="s">
        <v>35</v>
      </c>
      <c r="F34" s="32" t="s">
        <v>36</v>
      </c>
      <c r="G34" s="32">
        <v>1.0</v>
      </c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 ht="11.25" customHeight="1">
      <c r="A35" s="30" t="s">
        <v>208</v>
      </c>
      <c r="B35" s="31" t="s">
        <v>209</v>
      </c>
      <c r="C35" s="31" t="s">
        <v>210</v>
      </c>
      <c r="D35" s="31" t="s">
        <v>85</v>
      </c>
      <c r="E35" s="31" t="s">
        <v>35</v>
      </c>
      <c r="F35" s="32" t="s">
        <v>36</v>
      </c>
      <c r="G35" s="32">
        <v>1.0</v>
      </c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ht="11.25" customHeight="1">
      <c r="A36" s="27" t="s">
        <v>211</v>
      </c>
      <c r="B36" s="28" t="s">
        <v>212</v>
      </c>
      <c r="C36" s="28" t="s">
        <v>213</v>
      </c>
      <c r="D36" s="28" t="s">
        <v>85</v>
      </c>
      <c r="E36" s="28" t="s">
        <v>35</v>
      </c>
      <c r="F36" s="11" t="s">
        <v>36</v>
      </c>
      <c r="G36" s="11">
        <v>1.0</v>
      </c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 ht="11.25" customHeight="1">
      <c r="A37" s="27" t="s">
        <v>214</v>
      </c>
      <c r="B37" s="28" t="s">
        <v>215</v>
      </c>
      <c r="C37" s="28" t="s">
        <v>216</v>
      </c>
      <c r="D37" s="28" t="s">
        <v>85</v>
      </c>
      <c r="E37" s="28" t="s">
        <v>35</v>
      </c>
      <c r="F37" s="11" t="s">
        <v>36</v>
      </c>
      <c r="G37" s="11">
        <v>1.0</v>
      </c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 ht="11.25" customHeight="1">
      <c r="A38" s="27" t="s">
        <v>217</v>
      </c>
      <c r="B38" s="28" t="s">
        <v>218</v>
      </c>
      <c r="C38" s="28" t="s">
        <v>219</v>
      </c>
      <c r="D38" s="28" t="s">
        <v>85</v>
      </c>
      <c r="E38" s="28" t="s">
        <v>35</v>
      </c>
      <c r="F38" s="11" t="s">
        <v>36</v>
      </c>
      <c r="G38" s="11">
        <v>1.0</v>
      </c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 ht="11.25" customHeight="1">
      <c r="A39" s="27" t="s">
        <v>220</v>
      </c>
      <c r="B39" s="28" t="s">
        <v>221</v>
      </c>
      <c r="C39" s="28" t="s">
        <v>222</v>
      </c>
      <c r="D39" s="28" t="s">
        <v>85</v>
      </c>
      <c r="E39" s="28" t="s">
        <v>35</v>
      </c>
      <c r="F39" s="11" t="s">
        <v>36</v>
      </c>
      <c r="G39" s="11">
        <v>1.0</v>
      </c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 ht="11.25" customHeight="1">
      <c r="A40" s="27" t="s">
        <v>223</v>
      </c>
      <c r="B40" s="28" t="s">
        <v>224</v>
      </c>
      <c r="C40" s="28" t="s">
        <v>225</v>
      </c>
      <c r="D40" s="28" t="s">
        <v>85</v>
      </c>
      <c r="E40" s="28" t="s">
        <v>35</v>
      </c>
      <c r="F40" s="11" t="s">
        <v>36</v>
      </c>
      <c r="G40" s="11">
        <v>1.0</v>
      </c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 ht="11.25" customHeight="1">
      <c r="A41" s="30" t="s">
        <v>226</v>
      </c>
      <c r="B41" s="31" t="s">
        <v>227</v>
      </c>
      <c r="C41" s="31" t="s">
        <v>228</v>
      </c>
      <c r="D41" s="31" t="s">
        <v>85</v>
      </c>
      <c r="E41" s="31" t="s">
        <v>35</v>
      </c>
      <c r="F41" s="32" t="s">
        <v>36</v>
      </c>
      <c r="G41" s="32">
        <v>1.0</v>
      </c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ht="11.25" customHeight="1">
      <c r="A42" s="30" t="s">
        <v>229</v>
      </c>
      <c r="B42" s="31" t="s">
        <v>230</v>
      </c>
      <c r="C42" s="31" t="s">
        <v>231</v>
      </c>
      <c r="D42" s="31" t="s">
        <v>85</v>
      </c>
      <c r="E42" s="31" t="s">
        <v>35</v>
      </c>
      <c r="F42" s="32" t="s">
        <v>36</v>
      </c>
      <c r="G42" s="32">
        <v>1.0</v>
      </c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ht="80.25" customHeight="1">
      <c r="A43" s="27" t="s">
        <v>232</v>
      </c>
      <c r="B43" s="28" t="s">
        <v>233</v>
      </c>
      <c r="C43" s="28" t="s">
        <v>234</v>
      </c>
      <c r="D43" s="28" t="s">
        <v>235</v>
      </c>
      <c r="E43" s="28" t="s">
        <v>35</v>
      </c>
      <c r="F43" s="11" t="s">
        <v>36</v>
      </c>
      <c r="G43" s="11">
        <v>1.0</v>
      </c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 ht="89.25" customHeight="1">
      <c r="A44" s="27" t="s">
        <v>236</v>
      </c>
      <c r="B44" s="28" t="s">
        <v>237</v>
      </c>
      <c r="C44" s="28" t="s">
        <v>238</v>
      </c>
      <c r="D44" s="28" t="s">
        <v>239</v>
      </c>
      <c r="E44" s="28" t="s">
        <v>98</v>
      </c>
      <c r="F44" s="11" t="s">
        <v>99</v>
      </c>
      <c r="G44" s="11">
        <v>2.0</v>
      </c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 ht="103.5" customHeight="1">
      <c r="A45" s="27" t="s">
        <v>240</v>
      </c>
      <c r="B45" s="28" t="s">
        <v>241</v>
      </c>
      <c r="C45" s="28" t="s">
        <v>242</v>
      </c>
      <c r="D45" s="28" t="s">
        <v>235</v>
      </c>
      <c r="E45" s="28" t="s">
        <v>35</v>
      </c>
      <c r="F45" s="11" t="s">
        <v>36</v>
      </c>
      <c r="G45" s="11">
        <v>1.0</v>
      </c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 ht="98.25" customHeight="1">
      <c r="A46" s="27" t="s">
        <v>243</v>
      </c>
      <c r="B46" s="28" t="s">
        <v>244</v>
      </c>
      <c r="C46" s="28" t="s">
        <v>245</v>
      </c>
      <c r="D46" s="28" t="s">
        <v>239</v>
      </c>
      <c r="E46" s="28" t="s">
        <v>98</v>
      </c>
      <c r="F46" s="11" t="s">
        <v>99</v>
      </c>
      <c r="G46" s="11">
        <v>2.0</v>
      </c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 ht="64.5" customHeight="1">
      <c r="A47" s="27" t="s">
        <v>246</v>
      </c>
      <c r="B47" s="28" t="s">
        <v>247</v>
      </c>
      <c r="C47" s="28" t="s">
        <v>248</v>
      </c>
      <c r="D47" s="28" t="s">
        <v>125</v>
      </c>
      <c r="E47" s="28" t="s">
        <v>98</v>
      </c>
      <c r="F47" s="11" t="s">
        <v>99</v>
      </c>
      <c r="G47" s="11">
        <v>4.0</v>
      </c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 ht="71.25" customHeight="1">
      <c r="A48" s="27" t="s">
        <v>249</v>
      </c>
      <c r="B48" s="28" t="s">
        <v>250</v>
      </c>
      <c r="C48" s="28" t="s">
        <v>251</v>
      </c>
      <c r="D48" s="28" t="s">
        <v>125</v>
      </c>
      <c r="E48" s="28" t="s">
        <v>98</v>
      </c>
      <c r="F48" s="11" t="s">
        <v>99</v>
      </c>
      <c r="G48" s="11">
        <v>4.0</v>
      </c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 ht="69.75" customHeight="1">
      <c r="A49" s="27" t="s">
        <v>252</v>
      </c>
      <c r="B49" s="28" t="s">
        <v>253</v>
      </c>
      <c r="C49" s="28" t="s">
        <v>254</v>
      </c>
      <c r="D49" s="28" t="s">
        <v>255</v>
      </c>
      <c r="E49" s="28" t="s">
        <v>98</v>
      </c>
      <c r="F49" s="11" t="s">
        <v>99</v>
      </c>
      <c r="G49" s="11">
        <v>4.0</v>
      </c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 ht="85.5" customHeight="1">
      <c r="A50" s="27" t="s">
        <v>256</v>
      </c>
      <c r="B50" s="28" t="s">
        <v>257</v>
      </c>
      <c r="C50" s="28" t="s">
        <v>258</v>
      </c>
      <c r="D50" s="28" t="s">
        <v>235</v>
      </c>
      <c r="E50" s="28" t="s">
        <v>35</v>
      </c>
      <c r="F50" s="11" t="s">
        <v>36</v>
      </c>
      <c r="G50" s="11">
        <v>1.0</v>
      </c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 ht="11.25" customHeight="1">
      <c r="A51" s="27" t="s">
        <v>108</v>
      </c>
      <c r="B51" s="28" t="s">
        <v>109</v>
      </c>
      <c r="C51" s="28" t="s">
        <v>110</v>
      </c>
      <c r="D51" s="28" t="s">
        <v>111</v>
      </c>
      <c r="E51" s="28" t="s">
        <v>35</v>
      </c>
      <c r="F51" s="11" t="s">
        <v>36</v>
      </c>
      <c r="G51" s="11">
        <v>1.0</v>
      </c>
      <c r="H51" s="29"/>
      <c r="I51" s="29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</row>
    <row r="52" ht="33.75" customHeight="1">
      <c r="A52" s="27" t="s">
        <v>112</v>
      </c>
      <c r="B52" s="28" t="s">
        <v>27</v>
      </c>
      <c r="C52" s="28" t="s">
        <v>110</v>
      </c>
      <c r="D52" s="28" t="s">
        <v>22</v>
      </c>
      <c r="E52" s="28" t="s">
        <v>23</v>
      </c>
      <c r="F52" s="11" t="s">
        <v>24</v>
      </c>
      <c r="G52" s="11">
        <v>4.0</v>
      </c>
      <c r="H52" s="29"/>
      <c r="I52" s="29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</row>
    <row r="53" ht="11.25" customHeight="1">
      <c r="A53" s="27" t="s">
        <v>113</v>
      </c>
      <c r="B53" s="28" t="s">
        <v>114</v>
      </c>
      <c r="C53" s="28" t="s">
        <v>110</v>
      </c>
      <c r="D53" s="28"/>
      <c r="E53" s="28" t="s">
        <v>23</v>
      </c>
      <c r="F53" s="11" t="s">
        <v>24</v>
      </c>
      <c r="G53" s="11">
        <v>21.0</v>
      </c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 ht="11.25" customHeight="1">
      <c r="A54" s="27" t="s">
        <v>259</v>
      </c>
      <c r="B54" s="28" t="s">
        <v>260</v>
      </c>
      <c r="C54" s="28" t="s">
        <v>261</v>
      </c>
      <c r="D54" s="28"/>
      <c r="E54" s="28" t="s">
        <v>23</v>
      </c>
      <c r="F54" s="11" t="s">
        <v>24</v>
      </c>
      <c r="G54" s="11">
        <v>23.0</v>
      </c>
      <c r="H54" s="29"/>
      <c r="I54" s="29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 ht="11.25" customHeight="1">
      <c r="A55" s="27" t="s">
        <v>262</v>
      </c>
      <c r="B55" s="28" t="s">
        <v>263</v>
      </c>
      <c r="C55" s="28" t="s">
        <v>264</v>
      </c>
      <c r="D55" s="28" t="s">
        <v>265</v>
      </c>
      <c r="E55" s="28" t="s">
        <v>35</v>
      </c>
      <c r="F55" s="11" t="s">
        <v>36</v>
      </c>
      <c r="G55" s="11">
        <v>1.0</v>
      </c>
      <c r="H55" s="29"/>
      <c r="I55" s="29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</row>
    <row r="56" ht="63.75" customHeight="1">
      <c r="A56" s="27" t="s">
        <v>138</v>
      </c>
      <c r="B56" s="28" t="s">
        <v>139</v>
      </c>
      <c r="C56" s="28" t="s">
        <v>140</v>
      </c>
      <c r="D56" s="28" t="s">
        <v>85</v>
      </c>
      <c r="E56" s="28" t="s">
        <v>141</v>
      </c>
      <c r="F56" s="11" t="s">
        <v>36</v>
      </c>
      <c r="G56" s="11">
        <v>1.0</v>
      </c>
      <c r="H56" s="29"/>
      <c r="I56" s="29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</row>
    <row r="57" ht="11.25" customHeight="1">
      <c r="A57" s="38" t="s">
        <v>266</v>
      </c>
      <c r="B57" s="37"/>
      <c r="C57" s="29"/>
      <c r="D57" s="29"/>
      <c r="E57" s="37"/>
      <c r="F57" s="37"/>
      <c r="G57" s="37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 ht="11.25" customHeight="1">
      <c r="A58" s="29"/>
      <c r="B58" s="37"/>
      <c r="C58" s="29"/>
      <c r="D58" s="29"/>
      <c r="E58" s="37"/>
      <c r="F58" s="37"/>
      <c r="G58" s="37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 ht="11.25" customHeight="1">
      <c r="A59" s="29"/>
      <c r="B59" s="37"/>
      <c r="C59" s="29"/>
      <c r="D59" s="29"/>
      <c r="E59" s="37"/>
      <c r="F59" s="37"/>
      <c r="G59" s="37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 ht="11.25" customHeight="1">
      <c r="A60" s="29"/>
      <c r="B60" s="37"/>
      <c r="C60" s="29"/>
      <c r="D60" s="29"/>
      <c r="E60" s="37"/>
      <c r="F60" s="37"/>
      <c r="G60" s="37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 ht="11.25" customHeight="1">
      <c r="A61" s="29"/>
      <c r="B61" s="37"/>
      <c r="C61" s="29"/>
      <c r="D61" s="29"/>
      <c r="E61" s="37"/>
      <c r="F61" s="37"/>
      <c r="G61" s="37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 ht="11.25" customHeight="1">
      <c r="A62" s="29"/>
      <c r="B62" s="37"/>
      <c r="C62" s="29"/>
      <c r="D62" s="29"/>
      <c r="E62" s="37"/>
      <c r="F62" s="37"/>
      <c r="G62" s="37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 ht="11.25" customHeight="1">
      <c r="A63" s="29"/>
      <c r="B63" s="37"/>
      <c r="C63" s="29"/>
      <c r="D63" s="29"/>
      <c r="E63" s="37"/>
      <c r="F63" s="37"/>
      <c r="G63" s="37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 ht="11.25" customHeight="1">
      <c r="A64" s="29"/>
      <c r="B64" s="37"/>
      <c r="C64" s="29"/>
      <c r="D64" s="29"/>
      <c r="E64" s="37"/>
      <c r="F64" s="37"/>
      <c r="G64" s="37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 ht="11.25" customHeight="1">
      <c r="A65" s="29"/>
      <c r="B65" s="37"/>
      <c r="C65" s="29"/>
      <c r="D65" s="29"/>
      <c r="E65" s="37"/>
      <c r="F65" s="37"/>
      <c r="G65" s="37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 ht="11.25" customHeight="1">
      <c r="A66" s="29"/>
      <c r="B66" s="37"/>
      <c r="C66" s="29"/>
      <c r="D66" s="29"/>
      <c r="E66" s="37"/>
      <c r="F66" s="37"/>
      <c r="G66" s="37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 ht="11.25" customHeight="1">
      <c r="A67" s="29"/>
      <c r="B67" s="37"/>
      <c r="C67" s="29"/>
      <c r="D67" s="29"/>
      <c r="E67" s="37"/>
      <c r="F67" s="37"/>
      <c r="G67" s="37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 ht="11.25" customHeight="1">
      <c r="A68" s="29"/>
      <c r="B68" s="37"/>
      <c r="C68" s="29"/>
      <c r="D68" s="29"/>
      <c r="E68" s="37"/>
      <c r="F68" s="37"/>
      <c r="G68" s="37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 ht="11.25" customHeight="1">
      <c r="A69" s="29"/>
      <c r="B69" s="37"/>
      <c r="C69" s="29"/>
      <c r="D69" s="29"/>
      <c r="E69" s="37"/>
      <c r="F69" s="37"/>
      <c r="G69" s="37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 ht="11.25" customHeight="1">
      <c r="A70" s="29"/>
      <c r="B70" s="37"/>
      <c r="C70" s="29"/>
      <c r="D70" s="29"/>
      <c r="E70" s="37"/>
      <c r="F70" s="37"/>
      <c r="G70" s="37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 ht="11.25" customHeight="1">
      <c r="A71" s="29"/>
      <c r="B71" s="37"/>
      <c r="C71" s="29"/>
      <c r="D71" s="29"/>
      <c r="E71" s="37"/>
      <c r="F71" s="37"/>
      <c r="G71" s="37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 ht="11.25" customHeight="1">
      <c r="A72" s="29"/>
      <c r="B72" s="37"/>
      <c r="C72" s="29"/>
      <c r="D72" s="29"/>
      <c r="E72" s="37"/>
      <c r="F72" s="37"/>
      <c r="G72" s="37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 ht="11.25" customHeight="1">
      <c r="A73" s="29"/>
      <c r="B73" s="37"/>
      <c r="C73" s="29"/>
      <c r="D73" s="29"/>
      <c r="E73" s="37"/>
      <c r="F73" s="37"/>
      <c r="G73" s="37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 ht="11.25" customHeight="1">
      <c r="A74" s="29"/>
      <c r="B74" s="37"/>
      <c r="C74" s="29"/>
      <c r="D74" s="29"/>
      <c r="E74" s="37"/>
      <c r="F74" s="37"/>
      <c r="G74" s="37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 ht="11.25" customHeight="1">
      <c r="A75" s="29"/>
      <c r="B75" s="37"/>
      <c r="C75" s="29"/>
      <c r="D75" s="29"/>
      <c r="E75" s="37"/>
      <c r="F75" s="37"/>
      <c r="G75" s="37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 ht="11.25" customHeight="1">
      <c r="A76" s="29"/>
      <c r="B76" s="37"/>
      <c r="C76" s="29"/>
      <c r="D76" s="29"/>
      <c r="E76" s="37"/>
      <c r="F76" s="37"/>
      <c r="G76" s="37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 ht="11.25" customHeight="1">
      <c r="A77" s="29"/>
      <c r="B77" s="37"/>
      <c r="C77" s="29"/>
      <c r="D77" s="29"/>
      <c r="E77" s="37"/>
      <c r="F77" s="37"/>
      <c r="G77" s="37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 ht="11.25" customHeight="1">
      <c r="A78" s="29"/>
      <c r="B78" s="37"/>
      <c r="C78" s="29"/>
      <c r="D78" s="29"/>
      <c r="E78" s="37"/>
      <c r="F78" s="37"/>
      <c r="G78" s="37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 ht="11.25" customHeight="1">
      <c r="A79" s="29"/>
      <c r="B79" s="37"/>
      <c r="C79" s="29"/>
      <c r="D79" s="29"/>
      <c r="E79" s="37"/>
      <c r="F79" s="37"/>
      <c r="G79" s="37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 ht="11.25" customHeight="1">
      <c r="A80" s="29"/>
      <c r="B80" s="37"/>
      <c r="C80" s="29"/>
      <c r="D80" s="29"/>
      <c r="E80" s="37"/>
      <c r="F80" s="37"/>
      <c r="G80" s="37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 ht="11.25" customHeight="1">
      <c r="A81" s="29"/>
      <c r="B81" s="37"/>
      <c r="C81" s="29"/>
      <c r="D81" s="29"/>
      <c r="E81" s="37"/>
      <c r="F81" s="37"/>
      <c r="G81" s="37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 ht="11.25" customHeight="1">
      <c r="A82" s="29"/>
      <c r="B82" s="37"/>
      <c r="C82" s="29"/>
      <c r="D82" s="29"/>
      <c r="E82" s="37"/>
      <c r="F82" s="37"/>
      <c r="G82" s="37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 ht="11.25" customHeight="1">
      <c r="A83" s="29"/>
      <c r="B83" s="37"/>
      <c r="C83" s="29"/>
      <c r="D83" s="29"/>
      <c r="E83" s="37"/>
      <c r="F83" s="37"/>
      <c r="G83" s="37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 ht="11.25" customHeight="1">
      <c r="A84" s="29"/>
      <c r="B84" s="37"/>
      <c r="C84" s="29"/>
      <c r="D84" s="29"/>
      <c r="E84" s="37"/>
      <c r="F84" s="37"/>
      <c r="G84" s="37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 ht="11.25" customHeight="1">
      <c r="A85" s="29"/>
      <c r="B85" s="37"/>
      <c r="C85" s="29"/>
      <c r="D85" s="29"/>
      <c r="E85" s="37"/>
      <c r="F85" s="37"/>
      <c r="G85" s="37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 ht="11.25" customHeight="1">
      <c r="A86" s="29"/>
      <c r="B86" s="37"/>
      <c r="C86" s="29"/>
      <c r="D86" s="29"/>
      <c r="E86" s="37"/>
      <c r="F86" s="37"/>
      <c r="G86" s="37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 ht="11.25" customHeight="1">
      <c r="A87" s="29"/>
      <c r="B87" s="37"/>
      <c r="C87" s="29"/>
      <c r="D87" s="29"/>
      <c r="E87" s="37"/>
      <c r="F87" s="37"/>
      <c r="G87" s="37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 ht="11.25" customHeight="1">
      <c r="A88" s="29"/>
      <c r="B88" s="37"/>
      <c r="C88" s="29"/>
      <c r="D88" s="29"/>
      <c r="E88" s="37"/>
      <c r="F88" s="37"/>
      <c r="G88" s="37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 ht="11.25" customHeight="1">
      <c r="A89" s="29"/>
      <c r="B89" s="37"/>
      <c r="C89" s="29"/>
      <c r="D89" s="29"/>
      <c r="E89" s="37"/>
      <c r="F89" s="37"/>
      <c r="G89" s="37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 ht="11.25" customHeight="1">
      <c r="A90" s="29"/>
      <c r="B90" s="37"/>
      <c r="C90" s="29"/>
      <c r="D90" s="29"/>
      <c r="E90" s="37"/>
      <c r="F90" s="37"/>
      <c r="G90" s="37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 ht="11.25" customHeight="1">
      <c r="A91" s="29"/>
      <c r="B91" s="37"/>
      <c r="C91" s="29"/>
      <c r="D91" s="29"/>
      <c r="E91" s="37"/>
      <c r="F91" s="37"/>
      <c r="G91" s="37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 ht="11.25" customHeight="1">
      <c r="A92" s="29"/>
      <c r="B92" s="37"/>
      <c r="C92" s="29"/>
      <c r="D92" s="29"/>
      <c r="E92" s="37"/>
      <c r="F92" s="37"/>
      <c r="G92" s="37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 ht="11.25" customHeight="1">
      <c r="A93" s="29"/>
      <c r="B93" s="37"/>
      <c r="C93" s="29"/>
      <c r="D93" s="29"/>
      <c r="E93" s="37"/>
      <c r="F93" s="37"/>
      <c r="G93" s="37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 ht="11.25" customHeight="1">
      <c r="A94" s="29"/>
      <c r="B94" s="37"/>
      <c r="C94" s="29"/>
      <c r="D94" s="29"/>
      <c r="E94" s="37"/>
      <c r="F94" s="37"/>
      <c r="G94" s="37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 ht="11.25" customHeight="1">
      <c r="A95" s="29"/>
      <c r="B95" s="37"/>
      <c r="C95" s="29"/>
      <c r="D95" s="29"/>
      <c r="E95" s="37"/>
      <c r="F95" s="37"/>
      <c r="G95" s="37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 ht="11.25" customHeight="1">
      <c r="A96" s="29"/>
      <c r="B96" s="37"/>
      <c r="C96" s="29"/>
      <c r="D96" s="29"/>
      <c r="E96" s="37"/>
      <c r="F96" s="37"/>
      <c r="G96" s="37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 ht="11.25" customHeight="1">
      <c r="A97" s="29"/>
      <c r="B97" s="37"/>
      <c r="C97" s="29"/>
      <c r="D97" s="29"/>
      <c r="E97" s="37"/>
      <c r="F97" s="37"/>
      <c r="G97" s="37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 ht="11.25" customHeight="1">
      <c r="A98" s="29"/>
      <c r="B98" s="37"/>
      <c r="C98" s="29"/>
      <c r="D98" s="29"/>
      <c r="E98" s="37"/>
      <c r="F98" s="37"/>
      <c r="G98" s="37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 ht="11.25" customHeight="1">
      <c r="A99" s="29"/>
      <c r="B99" s="37"/>
      <c r="C99" s="29"/>
      <c r="D99" s="29"/>
      <c r="E99" s="37"/>
      <c r="F99" s="37"/>
      <c r="G99" s="37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 ht="11.25" customHeight="1">
      <c r="A100" s="29"/>
      <c r="B100" s="37"/>
      <c r="C100" s="29"/>
      <c r="D100" s="29"/>
      <c r="E100" s="37"/>
      <c r="F100" s="37"/>
      <c r="G100" s="37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 ht="11.25" customHeight="1">
      <c r="A101" s="29"/>
      <c r="B101" s="37"/>
      <c r="C101" s="29"/>
      <c r="D101" s="29"/>
      <c r="E101" s="37"/>
      <c r="F101" s="37"/>
      <c r="G101" s="37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 ht="11.25" customHeight="1">
      <c r="A102" s="29"/>
      <c r="B102" s="37"/>
      <c r="C102" s="29"/>
      <c r="D102" s="29"/>
      <c r="E102" s="37"/>
      <c r="F102" s="37"/>
      <c r="G102" s="37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 ht="11.25" customHeight="1">
      <c r="A103" s="29"/>
      <c r="B103" s="37"/>
      <c r="C103" s="29"/>
      <c r="D103" s="29"/>
      <c r="E103" s="37"/>
      <c r="F103" s="37"/>
      <c r="G103" s="37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 ht="11.25" customHeight="1">
      <c r="A104" s="29"/>
      <c r="B104" s="37"/>
      <c r="C104" s="29"/>
      <c r="D104" s="29"/>
      <c r="E104" s="37"/>
      <c r="F104" s="37"/>
      <c r="G104" s="37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 ht="11.25" customHeight="1">
      <c r="A105" s="29"/>
      <c r="B105" s="37"/>
      <c r="C105" s="29"/>
      <c r="D105" s="29"/>
      <c r="E105" s="37"/>
      <c r="F105" s="37"/>
      <c r="G105" s="37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 ht="11.25" customHeight="1">
      <c r="A106" s="29"/>
      <c r="B106" s="37"/>
      <c r="C106" s="29"/>
      <c r="D106" s="29"/>
      <c r="E106" s="37"/>
      <c r="F106" s="37"/>
      <c r="G106" s="37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 ht="11.25" customHeight="1">
      <c r="A107" s="29"/>
      <c r="B107" s="37"/>
      <c r="C107" s="29"/>
      <c r="D107" s="29"/>
      <c r="E107" s="37"/>
      <c r="F107" s="37"/>
      <c r="G107" s="37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 ht="11.25" customHeight="1">
      <c r="A108" s="29"/>
      <c r="B108" s="37"/>
      <c r="C108" s="29"/>
      <c r="D108" s="29"/>
      <c r="E108" s="37"/>
      <c r="F108" s="37"/>
      <c r="G108" s="37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 ht="11.25" customHeight="1">
      <c r="A109" s="29"/>
      <c r="B109" s="37"/>
      <c r="C109" s="29"/>
      <c r="D109" s="29"/>
      <c r="E109" s="37"/>
      <c r="F109" s="37"/>
      <c r="G109" s="37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 ht="11.25" customHeight="1">
      <c r="A110" s="29"/>
      <c r="B110" s="37"/>
      <c r="C110" s="29"/>
      <c r="D110" s="29"/>
      <c r="E110" s="37"/>
      <c r="F110" s="37"/>
      <c r="G110" s="37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 ht="11.25" customHeight="1">
      <c r="A111" s="29"/>
      <c r="B111" s="37"/>
      <c r="C111" s="29"/>
      <c r="D111" s="29"/>
      <c r="E111" s="37"/>
      <c r="F111" s="37"/>
      <c r="G111" s="37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 ht="11.25" customHeight="1">
      <c r="A112" s="29"/>
      <c r="B112" s="37"/>
      <c r="C112" s="29"/>
      <c r="D112" s="29"/>
      <c r="E112" s="37"/>
      <c r="F112" s="37"/>
      <c r="G112" s="37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 ht="11.25" customHeight="1">
      <c r="A113" s="29"/>
      <c r="B113" s="37"/>
      <c r="C113" s="29"/>
      <c r="D113" s="29"/>
      <c r="E113" s="37"/>
      <c r="F113" s="37"/>
      <c r="G113" s="37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 ht="11.25" customHeight="1">
      <c r="A114" s="29"/>
      <c r="B114" s="37"/>
      <c r="C114" s="29"/>
      <c r="D114" s="29"/>
      <c r="E114" s="37"/>
      <c r="F114" s="37"/>
      <c r="G114" s="37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 ht="11.25" customHeight="1">
      <c r="A115" s="29"/>
      <c r="B115" s="37"/>
      <c r="C115" s="29"/>
      <c r="D115" s="29"/>
      <c r="E115" s="37"/>
      <c r="F115" s="37"/>
      <c r="G115" s="37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 ht="11.25" customHeight="1">
      <c r="A116" s="29"/>
      <c r="B116" s="37"/>
      <c r="C116" s="29"/>
      <c r="D116" s="29"/>
      <c r="E116" s="37"/>
      <c r="F116" s="37"/>
      <c r="G116" s="37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 ht="11.25" customHeight="1">
      <c r="A117" s="29"/>
      <c r="B117" s="37"/>
      <c r="C117" s="29"/>
      <c r="D117" s="29"/>
      <c r="E117" s="37"/>
      <c r="F117" s="37"/>
      <c r="G117" s="37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 ht="11.25" customHeight="1">
      <c r="A118" s="29"/>
      <c r="B118" s="37"/>
      <c r="C118" s="29"/>
      <c r="D118" s="29"/>
      <c r="E118" s="37"/>
      <c r="F118" s="37"/>
      <c r="G118" s="37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 ht="11.25" customHeight="1">
      <c r="A119" s="29"/>
      <c r="B119" s="37"/>
      <c r="C119" s="29"/>
      <c r="D119" s="29"/>
      <c r="E119" s="37"/>
      <c r="F119" s="37"/>
      <c r="G119" s="37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 ht="11.25" customHeight="1">
      <c r="A120" s="29"/>
      <c r="B120" s="37"/>
      <c r="C120" s="29"/>
      <c r="D120" s="29"/>
      <c r="E120" s="37"/>
      <c r="F120" s="37"/>
      <c r="G120" s="37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 ht="11.25" customHeight="1">
      <c r="A121" s="29"/>
      <c r="B121" s="37"/>
      <c r="C121" s="29"/>
      <c r="D121" s="29"/>
      <c r="E121" s="37"/>
      <c r="F121" s="37"/>
      <c r="G121" s="37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 ht="11.25" customHeight="1">
      <c r="A122" s="29"/>
      <c r="B122" s="37"/>
      <c r="C122" s="29"/>
      <c r="D122" s="29"/>
      <c r="E122" s="37"/>
      <c r="F122" s="37"/>
      <c r="G122" s="37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 ht="11.25" customHeight="1">
      <c r="A123" s="29"/>
      <c r="B123" s="37"/>
      <c r="C123" s="29"/>
      <c r="D123" s="29"/>
      <c r="E123" s="37"/>
      <c r="F123" s="37"/>
      <c r="G123" s="37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 ht="11.25" customHeight="1">
      <c r="A124" s="29"/>
      <c r="B124" s="37"/>
      <c r="C124" s="29"/>
      <c r="D124" s="29"/>
      <c r="E124" s="37"/>
      <c r="F124" s="37"/>
      <c r="G124" s="37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 ht="11.25" customHeight="1">
      <c r="A125" s="29"/>
      <c r="B125" s="37"/>
      <c r="C125" s="29"/>
      <c r="D125" s="29"/>
      <c r="E125" s="37"/>
      <c r="F125" s="37"/>
      <c r="G125" s="37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 ht="11.25" customHeight="1">
      <c r="A126" s="29"/>
      <c r="B126" s="37"/>
      <c r="C126" s="29"/>
      <c r="D126" s="29"/>
      <c r="E126" s="37"/>
      <c r="F126" s="37"/>
      <c r="G126" s="37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 ht="11.25" customHeight="1">
      <c r="A127" s="29"/>
      <c r="B127" s="37"/>
      <c r="C127" s="29"/>
      <c r="D127" s="29"/>
      <c r="E127" s="37"/>
      <c r="F127" s="37"/>
      <c r="G127" s="37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 ht="11.25" customHeight="1">
      <c r="A128" s="29"/>
      <c r="B128" s="37"/>
      <c r="C128" s="29"/>
      <c r="D128" s="29"/>
      <c r="E128" s="37"/>
      <c r="F128" s="37"/>
      <c r="G128" s="37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 ht="11.25" customHeight="1">
      <c r="A129" s="29"/>
      <c r="B129" s="37"/>
      <c r="C129" s="29"/>
      <c r="D129" s="29"/>
      <c r="E129" s="37"/>
      <c r="F129" s="37"/>
      <c r="G129" s="37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 ht="11.25" customHeight="1">
      <c r="A130" s="29"/>
      <c r="B130" s="37"/>
      <c r="C130" s="29"/>
      <c r="D130" s="29"/>
      <c r="E130" s="37"/>
      <c r="F130" s="37"/>
      <c r="G130" s="37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 ht="11.25" customHeight="1">
      <c r="A131" s="29"/>
      <c r="B131" s="37"/>
      <c r="C131" s="29"/>
      <c r="D131" s="29"/>
      <c r="E131" s="37"/>
      <c r="F131" s="37"/>
      <c r="G131" s="37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 ht="11.25" customHeight="1">
      <c r="A132" s="29"/>
      <c r="B132" s="37"/>
      <c r="C132" s="29"/>
      <c r="D132" s="29"/>
      <c r="E132" s="37"/>
      <c r="F132" s="37"/>
      <c r="G132" s="37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 ht="11.25" customHeight="1">
      <c r="A133" s="29"/>
      <c r="B133" s="37"/>
      <c r="C133" s="29"/>
      <c r="D133" s="29"/>
      <c r="E133" s="37"/>
      <c r="F133" s="37"/>
      <c r="G133" s="37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 ht="11.25" customHeight="1">
      <c r="A134" s="29"/>
      <c r="B134" s="37"/>
      <c r="C134" s="29"/>
      <c r="D134" s="29"/>
      <c r="E134" s="37"/>
      <c r="F134" s="37"/>
      <c r="G134" s="37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 ht="11.25" customHeight="1">
      <c r="A135" s="29"/>
      <c r="B135" s="37"/>
      <c r="C135" s="29"/>
      <c r="D135" s="29"/>
      <c r="E135" s="37"/>
      <c r="F135" s="37"/>
      <c r="G135" s="37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 ht="11.25" customHeight="1">
      <c r="A136" s="29"/>
      <c r="B136" s="37"/>
      <c r="C136" s="29"/>
      <c r="D136" s="29"/>
      <c r="E136" s="37"/>
      <c r="F136" s="37"/>
      <c r="G136" s="37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 ht="11.25" customHeight="1">
      <c r="A137" s="29"/>
      <c r="B137" s="37"/>
      <c r="C137" s="29"/>
      <c r="D137" s="29"/>
      <c r="E137" s="37"/>
      <c r="F137" s="37"/>
      <c r="G137" s="37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 ht="11.25" customHeight="1">
      <c r="A138" s="29"/>
      <c r="B138" s="37"/>
      <c r="C138" s="29"/>
      <c r="D138" s="29"/>
      <c r="E138" s="37"/>
      <c r="F138" s="37"/>
      <c r="G138" s="37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 ht="11.25" customHeight="1">
      <c r="A139" s="29"/>
      <c r="B139" s="37"/>
      <c r="C139" s="29"/>
      <c r="D139" s="29"/>
      <c r="E139" s="37"/>
      <c r="F139" s="37"/>
      <c r="G139" s="37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 ht="11.25" customHeight="1">
      <c r="A140" s="29"/>
      <c r="B140" s="37"/>
      <c r="C140" s="29"/>
      <c r="D140" s="29"/>
      <c r="E140" s="37"/>
      <c r="F140" s="37"/>
      <c r="G140" s="37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 ht="11.25" customHeight="1">
      <c r="A141" s="29"/>
      <c r="B141" s="37"/>
      <c r="C141" s="29"/>
      <c r="D141" s="29"/>
      <c r="E141" s="37"/>
      <c r="F141" s="37"/>
      <c r="G141" s="37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 ht="11.25" customHeight="1">
      <c r="A142" s="29"/>
      <c r="B142" s="37"/>
      <c r="C142" s="29"/>
      <c r="D142" s="29"/>
      <c r="E142" s="37"/>
      <c r="F142" s="37"/>
      <c r="G142" s="37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 ht="11.25" customHeight="1">
      <c r="A143" s="29"/>
      <c r="B143" s="37"/>
      <c r="C143" s="29"/>
      <c r="D143" s="29"/>
      <c r="E143" s="37"/>
      <c r="F143" s="37"/>
      <c r="G143" s="37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 ht="11.25" customHeight="1">
      <c r="A144" s="29"/>
      <c r="B144" s="37"/>
      <c r="C144" s="29"/>
      <c r="D144" s="29"/>
      <c r="E144" s="37"/>
      <c r="F144" s="37"/>
      <c r="G144" s="37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 ht="11.25" customHeight="1">
      <c r="A145" s="29"/>
      <c r="B145" s="37"/>
      <c r="C145" s="29"/>
      <c r="D145" s="29"/>
      <c r="E145" s="37"/>
      <c r="F145" s="37"/>
      <c r="G145" s="37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 ht="11.25" customHeight="1">
      <c r="A146" s="29"/>
      <c r="B146" s="37"/>
      <c r="C146" s="29"/>
      <c r="D146" s="29"/>
      <c r="E146" s="37"/>
      <c r="F146" s="37"/>
      <c r="G146" s="37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 ht="11.25" customHeight="1">
      <c r="A147" s="29"/>
      <c r="B147" s="37"/>
      <c r="C147" s="29"/>
      <c r="D147" s="29"/>
      <c r="E147" s="37"/>
      <c r="F147" s="37"/>
      <c r="G147" s="37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 ht="11.25" customHeight="1">
      <c r="A148" s="29"/>
      <c r="B148" s="37"/>
      <c r="C148" s="29"/>
      <c r="D148" s="29"/>
      <c r="E148" s="37"/>
      <c r="F148" s="37"/>
      <c r="G148" s="37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 ht="11.25" customHeight="1">
      <c r="A149" s="29"/>
      <c r="B149" s="37"/>
      <c r="C149" s="29"/>
      <c r="D149" s="29"/>
      <c r="E149" s="37"/>
      <c r="F149" s="37"/>
      <c r="G149" s="37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 ht="11.25" customHeight="1">
      <c r="A150" s="29"/>
      <c r="B150" s="37"/>
      <c r="C150" s="29"/>
      <c r="D150" s="29"/>
      <c r="E150" s="37"/>
      <c r="F150" s="37"/>
      <c r="G150" s="37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 ht="11.25" customHeight="1">
      <c r="A151" s="29"/>
      <c r="B151" s="37"/>
      <c r="C151" s="29"/>
      <c r="D151" s="29"/>
      <c r="E151" s="37"/>
      <c r="F151" s="37"/>
      <c r="G151" s="37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 ht="11.25" customHeight="1">
      <c r="A152" s="29"/>
      <c r="B152" s="37"/>
      <c r="C152" s="29"/>
      <c r="D152" s="29"/>
      <c r="E152" s="37"/>
      <c r="F152" s="37"/>
      <c r="G152" s="37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 ht="11.25" customHeight="1">
      <c r="A153" s="29"/>
      <c r="B153" s="37"/>
      <c r="C153" s="29"/>
      <c r="D153" s="29"/>
      <c r="E153" s="37"/>
      <c r="F153" s="37"/>
      <c r="G153" s="37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 ht="11.25" customHeight="1">
      <c r="A154" s="29"/>
      <c r="B154" s="37"/>
      <c r="C154" s="29"/>
      <c r="D154" s="29"/>
      <c r="E154" s="37"/>
      <c r="F154" s="37"/>
      <c r="G154" s="37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 ht="11.25" customHeight="1">
      <c r="A155" s="29"/>
      <c r="B155" s="37"/>
      <c r="C155" s="29"/>
      <c r="D155" s="29"/>
      <c r="E155" s="37"/>
      <c r="F155" s="37"/>
      <c r="G155" s="37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 ht="11.25" customHeight="1">
      <c r="A156" s="29"/>
      <c r="B156" s="37"/>
      <c r="C156" s="29"/>
      <c r="D156" s="29"/>
      <c r="E156" s="37"/>
      <c r="F156" s="37"/>
      <c r="G156" s="37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 ht="11.25" customHeight="1">
      <c r="A157" s="29"/>
      <c r="B157" s="37"/>
      <c r="C157" s="29"/>
      <c r="D157" s="29"/>
      <c r="E157" s="37"/>
      <c r="F157" s="37"/>
      <c r="G157" s="37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 ht="11.25" customHeight="1">
      <c r="A158" s="29"/>
      <c r="B158" s="37"/>
      <c r="C158" s="29"/>
      <c r="D158" s="29"/>
      <c r="E158" s="37"/>
      <c r="F158" s="37"/>
      <c r="G158" s="37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 ht="11.25" customHeight="1">
      <c r="A159" s="29"/>
      <c r="B159" s="37"/>
      <c r="C159" s="29"/>
      <c r="D159" s="29"/>
      <c r="E159" s="37"/>
      <c r="F159" s="37"/>
      <c r="G159" s="37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 ht="11.25" customHeight="1">
      <c r="A160" s="29"/>
      <c r="B160" s="37"/>
      <c r="C160" s="29"/>
      <c r="D160" s="29"/>
      <c r="E160" s="37"/>
      <c r="F160" s="37"/>
      <c r="G160" s="37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 ht="11.25" customHeight="1">
      <c r="A161" s="29"/>
      <c r="B161" s="37"/>
      <c r="C161" s="29"/>
      <c r="D161" s="29"/>
      <c r="E161" s="37"/>
      <c r="F161" s="37"/>
      <c r="G161" s="37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 ht="11.25" customHeight="1">
      <c r="A162" s="29"/>
      <c r="B162" s="37"/>
      <c r="C162" s="29"/>
      <c r="D162" s="29"/>
      <c r="E162" s="37"/>
      <c r="F162" s="37"/>
      <c r="G162" s="37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 ht="11.25" customHeight="1">
      <c r="A163" s="29"/>
      <c r="B163" s="37"/>
      <c r="C163" s="29"/>
      <c r="D163" s="29"/>
      <c r="E163" s="37"/>
      <c r="F163" s="37"/>
      <c r="G163" s="37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 ht="11.25" customHeight="1">
      <c r="A164" s="29"/>
      <c r="B164" s="37"/>
      <c r="C164" s="29"/>
      <c r="D164" s="29"/>
      <c r="E164" s="37"/>
      <c r="F164" s="37"/>
      <c r="G164" s="37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 ht="11.25" customHeight="1">
      <c r="A165" s="29"/>
      <c r="B165" s="37"/>
      <c r="C165" s="29"/>
      <c r="D165" s="29"/>
      <c r="E165" s="37"/>
      <c r="F165" s="37"/>
      <c r="G165" s="37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 ht="11.25" customHeight="1">
      <c r="A166" s="29"/>
      <c r="B166" s="37"/>
      <c r="C166" s="29"/>
      <c r="D166" s="29"/>
      <c r="E166" s="37"/>
      <c r="F166" s="37"/>
      <c r="G166" s="37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 ht="11.25" customHeight="1">
      <c r="A167" s="29"/>
      <c r="B167" s="37"/>
      <c r="C167" s="29"/>
      <c r="D167" s="29"/>
      <c r="E167" s="37"/>
      <c r="F167" s="37"/>
      <c r="G167" s="37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 ht="11.25" customHeight="1">
      <c r="A168" s="29"/>
      <c r="B168" s="37"/>
      <c r="C168" s="29"/>
      <c r="D168" s="29"/>
      <c r="E168" s="37"/>
      <c r="F168" s="37"/>
      <c r="G168" s="37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 ht="11.25" customHeight="1">
      <c r="A169" s="29"/>
      <c r="B169" s="37"/>
      <c r="C169" s="29"/>
      <c r="D169" s="29"/>
      <c r="E169" s="37"/>
      <c r="F169" s="37"/>
      <c r="G169" s="37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 ht="11.25" customHeight="1">
      <c r="A170" s="29"/>
      <c r="B170" s="37"/>
      <c r="C170" s="29"/>
      <c r="D170" s="29"/>
      <c r="E170" s="37"/>
      <c r="F170" s="37"/>
      <c r="G170" s="37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 ht="11.25" customHeight="1">
      <c r="A171" s="29"/>
      <c r="B171" s="37"/>
      <c r="C171" s="29"/>
      <c r="D171" s="29"/>
      <c r="E171" s="37"/>
      <c r="F171" s="37"/>
      <c r="G171" s="37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 ht="11.25" customHeight="1">
      <c r="A172" s="29"/>
      <c r="B172" s="37"/>
      <c r="C172" s="29"/>
      <c r="D172" s="29"/>
      <c r="E172" s="37"/>
      <c r="F172" s="37"/>
      <c r="G172" s="37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 ht="11.25" customHeight="1">
      <c r="A173" s="29"/>
      <c r="B173" s="37"/>
      <c r="C173" s="29"/>
      <c r="D173" s="29"/>
      <c r="E173" s="37"/>
      <c r="F173" s="37"/>
      <c r="G173" s="37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 ht="11.25" customHeight="1">
      <c r="A174" s="29"/>
      <c r="B174" s="37"/>
      <c r="C174" s="29"/>
      <c r="D174" s="29"/>
      <c r="E174" s="37"/>
      <c r="F174" s="37"/>
      <c r="G174" s="37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 ht="11.25" customHeight="1">
      <c r="A175" s="29"/>
      <c r="B175" s="37"/>
      <c r="C175" s="29"/>
      <c r="D175" s="29"/>
      <c r="E175" s="37"/>
      <c r="F175" s="37"/>
      <c r="G175" s="37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 ht="11.25" customHeight="1">
      <c r="A176" s="29"/>
      <c r="B176" s="37"/>
      <c r="C176" s="29"/>
      <c r="D176" s="29"/>
      <c r="E176" s="37"/>
      <c r="F176" s="37"/>
      <c r="G176" s="37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 ht="11.25" customHeight="1">
      <c r="A177" s="29"/>
      <c r="B177" s="37"/>
      <c r="C177" s="29"/>
      <c r="D177" s="29"/>
      <c r="E177" s="37"/>
      <c r="F177" s="37"/>
      <c r="G177" s="37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 ht="11.25" customHeight="1">
      <c r="A178" s="29"/>
      <c r="B178" s="37"/>
      <c r="C178" s="29"/>
      <c r="D178" s="29"/>
      <c r="E178" s="37"/>
      <c r="F178" s="37"/>
      <c r="G178" s="37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 ht="11.25" customHeight="1">
      <c r="A179" s="29"/>
      <c r="B179" s="37"/>
      <c r="C179" s="29"/>
      <c r="D179" s="29"/>
      <c r="E179" s="37"/>
      <c r="F179" s="37"/>
      <c r="G179" s="37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 ht="11.25" customHeight="1">
      <c r="A180" s="29"/>
      <c r="B180" s="37"/>
      <c r="C180" s="29"/>
      <c r="D180" s="29"/>
      <c r="E180" s="37"/>
      <c r="F180" s="37"/>
      <c r="G180" s="37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 ht="11.25" customHeight="1">
      <c r="A181" s="29"/>
      <c r="B181" s="37"/>
      <c r="C181" s="29"/>
      <c r="D181" s="29"/>
      <c r="E181" s="37"/>
      <c r="F181" s="37"/>
      <c r="G181" s="37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 ht="11.25" customHeight="1">
      <c r="A182" s="29"/>
      <c r="B182" s="37"/>
      <c r="C182" s="29"/>
      <c r="D182" s="29"/>
      <c r="E182" s="37"/>
      <c r="F182" s="37"/>
      <c r="G182" s="37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 ht="11.25" customHeight="1">
      <c r="A183" s="29"/>
      <c r="B183" s="37"/>
      <c r="C183" s="29"/>
      <c r="D183" s="29"/>
      <c r="E183" s="37"/>
      <c r="F183" s="37"/>
      <c r="G183" s="37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 ht="11.25" customHeight="1">
      <c r="A184" s="29"/>
      <c r="B184" s="37"/>
      <c r="C184" s="29"/>
      <c r="D184" s="29"/>
      <c r="E184" s="37"/>
      <c r="F184" s="37"/>
      <c r="G184" s="37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 ht="11.25" customHeight="1">
      <c r="A185" s="29"/>
      <c r="B185" s="37"/>
      <c r="C185" s="29"/>
      <c r="D185" s="29"/>
      <c r="E185" s="37"/>
      <c r="F185" s="37"/>
      <c r="G185" s="37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 ht="11.25" customHeight="1">
      <c r="A186" s="29"/>
      <c r="B186" s="37"/>
      <c r="C186" s="29"/>
      <c r="D186" s="29"/>
      <c r="E186" s="37"/>
      <c r="F186" s="37"/>
      <c r="G186" s="37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 ht="11.25" customHeight="1">
      <c r="A187" s="29"/>
      <c r="B187" s="37"/>
      <c r="C187" s="29"/>
      <c r="D187" s="29"/>
      <c r="E187" s="37"/>
      <c r="F187" s="37"/>
      <c r="G187" s="37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 ht="11.25" customHeight="1">
      <c r="A188" s="29"/>
      <c r="B188" s="37"/>
      <c r="C188" s="29"/>
      <c r="D188" s="29"/>
      <c r="E188" s="37"/>
      <c r="F188" s="37"/>
      <c r="G188" s="37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 ht="11.25" customHeight="1">
      <c r="A189" s="29"/>
      <c r="B189" s="37"/>
      <c r="C189" s="29"/>
      <c r="D189" s="29"/>
      <c r="E189" s="37"/>
      <c r="F189" s="37"/>
      <c r="G189" s="37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 ht="11.25" customHeight="1">
      <c r="A190" s="29"/>
      <c r="B190" s="37"/>
      <c r="C190" s="29"/>
      <c r="D190" s="29"/>
      <c r="E190" s="37"/>
      <c r="F190" s="37"/>
      <c r="G190" s="37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 ht="11.25" customHeight="1">
      <c r="A191" s="29"/>
      <c r="B191" s="37"/>
      <c r="C191" s="29"/>
      <c r="D191" s="29"/>
      <c r="E191" s="37"/>
      <c r="F191" s="37"/>
      <c r="G191" s="37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 ht="11.25" customHeight="1">
      <c r="A192" s="29"/>
      <c r="B192" s="37"/>
      <c r="C192" s="29"/>
      <c r="D192" s="29"/>
      <c r="E192" s="37"/>
      <c r="F192" s="37"/>
      <c r="G192" s="37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 ht="11.25" customHeight="1">
      <c r="A193" s="29"/>
      <c r="B193" s="37"/>
      <c r="C193" s="29"/>
      <c r="D193" s="29"/>
      <c r="E193" s="37"/>
      <c r="F193" s="37"/>
      <c r="G193" s="37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 ht="11.25" customHeight="1">
      <c r="A194" s="29"/>
      <c r="B194" s="37"/>
      <c r="C194" s="29"/>
      <c r="D194" s="29"/>
      <c r="E194" s="37"/>
      <c r="F194" s="37"/>
      <c r="G194" s="37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 ht="11.25" customHeight="1">
      <c r="A195" s="29"/>
      <c r="B195" s="37"/>
      <c r="C195" s="29"/>
      <c r="D195" s="29"/>
      <c r="E195" s="37"/>
      <c r="F195" s="37"/>
      <c r="G195" s="37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 ht="11.25" customHeight="1">
      <c r="A196" s="29"/>
      <c r="B196" s="37"/>
      <c r="C196" s="29"/>
      <c r="D196" s="29"/>
      <c r="E196" s="37"/>
      <c r="F196" s="37"/>
      <c r="G196" s="37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 ht="11.25" customHeight="1">
      <c r="A197" s="29"/>
      <c r="B197" s="37"/>
      <c r="C197" s="29"/>
      <c r="D197" s="29"/>
      <c r="E197" s="37"/>
      <c r="F197" s="37"/>
      <c r="G197" s="37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 ht="11.25" customHeight="1">
      <c r="A198" s="29"/>
      <c r="B198" s="37"/>
      <c r="C198" s="29"/>
      <c r="D198" s="29"/>
      <c r="E198" s="37"/>
      <c r="F198" s="37"/>
      <c r="G198" s="37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 ht="11.25" customHeight="1">
      <c r="A199" s="29"/>
      <c r="B199" s="37"/>
      <c r="C199" s="29"/>
      <c r="D199" s="29"/>
      <c r="E199" s="37"/>
      <c r="F199" s="37"/>
      <c r="G199" s="37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 ht="11.25" customHeight="1">
      <c r="A200" s="29"/>
      <c r="B200" s="37"/>
      <c r="C200" s="29"/>
      <c r="D200" s="29"/>
      <c r="E200" s="37"/>
      <c r="F200" s="37"/>
      <c r="G200" s="37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 ht="11.25" customHeight="1">
      <c r="A201" s="29"/>
      <c r="B201" s="37"/>
      <c r="C201" s="29"/>
      <c r="D201" s="29"/>
      <c r="E201" s="37"/>
      <c r="F201" s="37"/>
      <c r="G201" s="37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 ht="11.25" customHeight="1">
      <c r="A202" s="29"/>
      <c r="B202" s="37"/>
      <c r="C202" s="29"/>
      <c r="D202" s="29"/>
      <c r="E202" s="37"/>
      <c r="F202" s="37"/>
      <c r="G202" s="37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 ht="11.25" customHeight="1">
      <c r="A203" s="29"/>
      <c r="B203" s="37"/>
      <c r="C203" s="29"/>
      <c r="D203" s="29"/>
      <c r="E203" s="37"/>
      <c r="F203" s="37"/>
      <c r="G203" s="37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 ht="11.25" customHeight="1">
      <c r="A204" s="29"/>
      <c r="B204" s="37"/>
      <c r="C204" s="29"/>
      <c r="D204" s="29"/>
      <c r="E204" s="37"/>
      <c r="F204" s="37"/>
      <c r="G204" s="37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 ht="11.25" customHeight="1">
      <c r="A205" s="29"/>
      <c r="B205" s="37"/>
      <c r="C205" s="29"/>
      <c r="D205" s="29"/>
      <c r="E205" s="37"/>
      <c r="F205" s="37"/>
      <c r="G205" s="37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 ht="11.25" customHeight="1">
      <c r="A206" s="29"/>
      <c r="B206" s="37"/>
      <c r="C206" s="29"/>
      <c r="D206" s="29"/>
      <c r="E206" s="37"/>
      <c r="F206" s="37"/>
      <c r="G206" s="37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 ht="11.25" customHeight="1">
      <c r="A207" s="29"/>
      <c r="B207" s="37"/>
      <c r="C207" s="29"/>
      <c r="D207" s="29"/>
      <c r="E207" s="37"/>
      <c r="F207" s="37"/>
      <c r="G207" s="37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 ht="11.25" customHeight="1">
      <c r="A208" s="29"/>
      <c r="B208" s="37"/>
      <c r="C208" s="29"/>
      <c r="D208" s="29"/>
      <c r="E208" s="37"/>
      <c r="F208" s="37"/>
      <c r="G208" s="37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 ht="11.25" customHeight="1">
      <c r="A209" s="29"/>
      <c r="B209" s="37"/>
      <c r="C209" s="29"/>
      <c r="D209" s="29"/>
      <c r="E209" s="37"/>
      <c r="F209" s="37"/>
      <c r="G209" s="37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 ht="11.25" customHeight="1">
      <c r="A210" s="29"/>
      <c r="B210" s="37"/>
      <c r="C210" s="29"/>
      <c r="D210" s="29"/>
      <c r="E210" s="37"/>
      <c r="F210" s="37"/>
      <c r="G210" s="37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 ht="11.25" customHeight="1">
      <c r="A211" s="29"/>
      <c r="B211" s="37"/>
      <c r="C211" s="29"/>
      <c r="D211" s="29"/>
      <c r="E211" s="37"/>
      <c r="F211" s="37"/>
      <c r="G211" s="37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 ht="11.25" customHeight="1">
      <c r="A212" s="29"/>
      <c r="B212" s="37"/>
      <c r="C212" s="29"/>
      <c r="D212" s="29"/>
      <c r="E212" s="37"/>
      <c r="F212" s="37"/>
      <c r="G212" s="37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 ht="11.25" customHeight="1">
      <c r="A213" s="29"/>
      <c r="B213" s="37"/>
      <c r="C213" s="29"/>
      <c r="D213" s="29"/>
      <c r="E213" s="37"/>
      <c r="F213" s="37"/>
      <c r="G213" s="37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 ht="11.25" customHeight="1">
      <c r="A214" s="29"/>
      <c r="B214" s="37"/>
      <c r="C214" s="29"/>
      <c r="D214" s="29"/>
      <c r="E214" s="37"/>
      <c r="F214" s="37"/>
      <c r="G214" s="37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 ht="11.25" customHeight="1">
      <c r="A215" s="29"/>
      <c r="B215" s="37"/>
      <c r="C215" s="29"/>
      <c r="D215" s="29"/>
      <c r="E215" s="37"/>
      <c r="F215" s="37"/>
      <c r="G215" s="37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 ht="11.25" customHeight="1">
      <c r="A216" s="29"/>
      <c r="B216" s="37"/>
      <c r="C216" s="29"/>
      <c r="D216" s="29"/>
      <c r="E216" s="37"/>
      <c r="F216" s="37"/>
      <c r="G216" s="37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 ht="11.25" customHeight="1">
      <c r="A217" s="29"/>
      <c r="B217" s="37"/>
      <c r="C217" s="29"/>
      <c r="D217" s="29"/>
      <c r="E217" s="37"/>
      <c r="F217" s="37"/>
      <c r="G217" s="37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 ht="11.25" customHeight="1">
      <c r="A218" s="29"/>
      <c r="B218" s="37"/>
      <c r="C218" s="29"/>
      <c r="D218" s="29"/>
      <c r="E218" s="37"/>
      <c r="F218" s="37"/>
      <c r="G218" s="37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 ht="11.25" customHeight="1">
      <c r="A219" s="29"/>
      <c r="B219" s="37"/>
      <c r="C219" s="29"/>
      <c r="D219" s="29"/>
      <c r="E219" s="37"/>
      <c r="F219" s="37"/>
      <c r="G219" s="37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 ht="11.25" customHeight="1">
      <c r="A220" s="29"/>
      <c r="B220" s="37"/>
      <c r="C220" s="29"/>
      <c r="D220" s="29"/>
      <c r="E220" s="37"/>
      <c r="F220" s="37"/>
      <c r="G220" s="37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 ht="11.25" customHeight="1">
      <c r="A221" s="29"/>
      <c r="B221" s="37"/>
      <c r="C221" s="29"/>
      <c r="D221" s="29"/>
      <c r="E221" s="37"/>
      <c r="F221" s="37"/>
      <c r="G221" s="37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 ht="11.25" customHeight="1">
      <c r="A222" s="29"/>
      <c r="B222" s="37"/>
      <c r="C222" s="29"/>
      <c r="D222" s="29"/>
      <c r="E222" s="37"/>
      <c r="F222" s="37"/>
      <c r="G222" s="37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 ht="11.25" customHeight="1">
      <c r="A223" s="29"/>
      <c r="B223" s="37"/>
      <c r="C223" s="29"/>
      <c r="D223" s="29"/>
      <c r="E223" s="37"/>
      <c r="F223" s="37"/>
      <c r="G223" s="37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 ht="11.25" customHeight="1">
      <c r="A224" s="29"/>
      <c r="B224" s="37"/>
      <c r="C224" s="29"/>
      <c r="D224" s="29"/>
      <c r="E224" s="37"/>
      <c r="F224" s="37"/>
      <c r="G224" s="37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 ht="11.25" customHeight="1">
      <c r="A225" s="29"/>
      <c r="B225" s="37"/>
      <c r="C225" s="29"/>
      <c r="D225" s="29"/>
      <c r="E225" s="37"/>
      <c r="F225" s="37"/>
      <c r="G225" s="37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 ht="11.25" customHeight="1">
      <c r="A226" s="29"/>
      <c r="B226" s="37"/>
      <c r="C226" s="29"/>
      <c r="D226" s="29"/>
      <c r="E226" s="37"/>
      <c r="F226" s="37"/>
      <c r="G226" s="37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 ht="11.25" customHeight="1">
      <c r="A227" s="29"/>
      <c r="B227" s="37"/>
      <c r="C227" s="29"/>
      <c r="D227" s="29"/>
      <c r="E227" s="37"/>
      <c r="F227" s="37"/>
      <c r="G227" s="37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 ht="11.25" customHeight="1">
      <c r="A228" s="29"/>
      <c r="B228" s="37"/>
      <c r="C228" s="29"/>
      <c r="D228" s="29"/>
      <c r="E228" s="37"/>
      <c r="F228" s="37"/>
      <c r="G228" s="37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 ht="11.25" customHeight="1">
      <c r="A229" s="29"/>
      <c r="B229" s="37"/>
      <c r="C229" s="29"/>
      <c r="D229" s="29"/>
      <c r="E229" s="37"/>
      <c r="F229" s="37"/>
      <c r="G229" s="37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 ht="11.25" customHeight="1">
      <c r="A230" s="29"/>
      <c r="B230" s="37"/>
      <c r="C230" s="29"/>
      <c r="D230" s="29"/>
      <c r="E230" s="37"/>
      <c r="F230" s="37"/>
      <c r="G230" s="37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 ht="11.25" customHeight="1">
      <c r="A231" s="29"/>
      <c r="B231" s="37"/>
      <c r="C231" s="29"/>
      <c r="D231" s="29"/>
      <c r="E231" s="37"/>
      <c r="F231" s="37"/>
      <c r="G231" s="37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 ht="11.25" customHeight="1">
      <c r="A232" s="29"/>
      <c r="B232" s="37"/>
      <c r="C232" s="29"/>
      <c r="D232" s="29"/>
      <c r="E232" s="37"/>
      <c r="F232" s="37"/>
      <c r="G232" s="37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 ht="11.25" customHeight="1">
      <c r="A233" s="29"/>
      <c r="B233" s="37"/>
      <c r="C233" s="29"/>
      <c r="D233" s="29"/>
      <c r="E233" s="37"/>
      <c r="F233" s="37"/>
      <c r="G233" s="37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 ht="11.25" customHeight="1">
      <c r="A234" s="29"/>
      <c r="B234" s="37"/>
      <c r="C234" s="29"/>
      <c r="D234" s="29"/>
      <c r="E234" s="37"/>
      <c r="F234" s="37"/>
      <c r="G234" s="37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 ht="11.25" customHeight="1">
      <c r="A235" s="29"/>
      <c r="B235" s="37"/>
      <c r="C235" s="29"/>
      <c r="D235" s="29"/>
      <c r="E235" s="37"/>
      <c r="F235" s="37"/>
      <c r="G235" s="37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 ht="11.25" customHeight="1">
      <c r="A236" s="29"/>
      <c r="B236" s="37"/>
      <c r="C236" s="29"/>
      <c r="D236" s="29"/>
      <c r="E236" s="37"/>
      <c r="F236" s="37"/>
      <c r="G236" s="37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 ht="11.25" customHeight="1">
      <c r="A237" s="29"/>
      <c r="B237" s="37"/>
      <c r="C237" s="29"/>
      <c r="D237" s="29"/>
      <c r="E237" s="37"/>
      <c r="F237" s="37"/>
      <c r="G237" s="37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 ht="11.25" customHeight="1">
      <c r="A238" s="29"/>
      <c r="B238" s="37"/>
      <c r="C238" s="29"/>
      <c r="D238" s="29"/>
      <c r="E238" s="37"/>
      <c r="F238" s="37"/>
      <c r="G238" s="37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 ht="11.25" customHeight="1">
      <c r="A239" s="29"/>
      <c r="B239" s="37"/>
      <c r="C239" s="29"/>
      <c r="D239" s="29"/>
      <c r="E239" s="37"/>
      <c r="F239" s="37"/>
      <c r="G239" s="37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 ht="11.25" customHeight="1">
      <c r="A240" s="29"/>
      <c r="B240" s="37"/>
      <c r="C240" s="29"/>
      <c r="D240" s="29"/>
      <c r="E240" s="37"/>
      <c r="F240" s="37"/>
      <c r="G240" s="37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 ht="11.25" customHeight="1">
      <c r="A241" s="29"/>
      <c r="B241" s="37"/>
      <c r="C241" s="29"/>
      <c r="D241" s="29"/>
      <c r="E241" s="37"/>
      <c r="F241" s="37"/>
      <c r="G241" s="37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 ht="11.25" customHeight="1">
      <c r="A242" s="29"/>
      <c r="B242" s="37"/>
      <c r="C242" s="29"/>
      <c r="D242" s="29"/>
      <c r="E242" s="37"/>
      <c r="F242" s="37"/>
      <c r="G242" s="37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 ht="11.25" customHeight="1">
      <c r="A243" s="29"/>
      <c r="B243" s="37"/>
      <c r="C243" s="29"/>
      <c r="D243" s="29"/>
      <c r="E243" s="37"/>
      <c r="F243" s="37"/>
      <c r="G243" s="37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 ht="11.25" customHeight="1">
      <c r="A244" s="29"/>
      <c r="B244" s="37"/>
      <c r="C244" s="29"/>
      <c r="D244" s="29"/>
      <c r="E244" s="37"/>
      <c r="F244" s="37"/>
      <c r="G244" s="37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 ht="11.25" customHeight="1">
      <c r="A245" s="29"/>
      <c r="B245" s="37"/>
      <c r="C245" s="29"/>
      <c r="D245" s="29"/>
      <c r="E245" s="37"/>
      <c r="F245" s="37"/>
      <c r="G245" s="37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 ht="11.25" customHeight="1">
      <c r="A246" s="29"/>
      <c r="B246" s="37"/>
      <c r="C246" s="29"/>
      <c r="D246" s="29"/>
      <c r="E246" s="37"/>
      <c r="F246" s="37"/>
      <c r="G246" s="37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 ht="11.25" customHeight="1">
      <c r="A247" s="29"/>
      <c r="B247" s="37"/>
      <c r="C247" s="29"/>
      <c r="D247" s="29"/>
      <c r="E247" s="37"/>
      <c r="F247" s="37"/>
      <c r="G247" s="37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 ht="11.25" customHeight="1">
      <c r="A248" s="29"/>
      <c r="B248" s="37"/>
      <c r="C248" s="29"/>
      <c r="D248" s="29"/>
      <c r="E248" s="37"/>
      <c r="F248" s="37"/>
      <c r="G248" s="37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 ht="11.25" customHeight="1">
      <c r="A249" s="29"/>
      <c r="B249" s="37"/>
      <c r="C249" s="29"/>
      <c r="D249" s="29"/>
      <c r="E249" s="37"/>
      <c r="F249" s="37"/>
      <c r="G249" s="37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 ht="11.25" customHeight="1">
      <c r="A250" s="29"/>
      <c r="B250" s="37"/>
      <c r="C250" s="29"/>
      <c r="D250" s="29"/>
      <c r="E250" s="37"/>
      <c r="F250" s="37"/>
      <c r="G250" s="37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 ht="11.25" customHeight="1">
      <c r="A251" s="29"/>
      <c r="B251" s="37"/>
      <c r="C251" s="29"/>
      <c r="D251" s="29"/>
      <c r="E251" s="37"/>
      <c r="F251" s="37"/>
      <c r="G251" s="37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 ht="11.25" customHeight="1">
      <c r="A252" s="29"/>
      <c r="B252" s="37"/>
      <c r="C252" s="29"/>
      <c r="D252" s="29"/>
      <c r="E252" s="37"/>
      <c r="F252" s="37"/>
      <c r="G252" s="37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 ht="11.25" customHeight="1">
      <c r="A253" s="29"/>
      <c r="B253" s="37"/>
      <c r="C253" s="29"/>
      <c r="D253" s="29"/>
      <c r="E253" s="37"/>
      <c r="F253" s="37"/>
      <c r="G253" s="37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 ht="11.25" customHeight="1">
      <c r="A254" s="29"/>
      <c r="B254" s="37"/>
      <c r="C254" s="29"/>
      <c r="D254" s="29"/>
      <c r="E254" s="37"/>
      <c r="F254" s="37"/>
      <c r="G254" s="37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 ht="11.25" customHeight="1">
      <c r="A255" s="29"/>
      <c r="B255" s="37"/>
      <c r="C255" s="29"/>
      <c r="D255" s="29"/>
      <c r="E255" s="37"/>
      <c r="F255" s="37"/>
      <c r="G255" s="37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 ht="11.25" customHeight="1">
      <c r="A256" s="29"/>
      <c r="B256" s="37"/>
      <c r="C256" s="29"/>
      <c r="D256" s="29"/>
      <c r="E256" s="37"/>
      <c r="F256" s="37"/>
      <c r="G256" s="37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 ht="11.25" customHeight="1">
      <c r="A257" s="29"/>
      <c r="B257" s="37"/>
      <c r="C257" s="29"/>
      <c r="D257" s="29"/>
      <c r="E257" s="37"/>
      <c r="F257" s="37"/>
      <c r="G257" s="37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 ht="11.25" customHeight="1">
      <c r="A258" s="29"/>
      <c r="B258" s="37"/>
      <c r="C258" s="29"/>
      <c r="D258" s="29"/>
      <c r="E258" s="37"/>
      <c r="F258" s="37"/>
      <c r="G258" s="37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 ht="11.25" customHeight="1">
      <c r="A259" s="29"/>
      <c r="B259" s="37"/>
      <c r="C259" s="29"/>
      <c r="D259" s="29"/>
      <c r="E259" s="37"/>
      <c r="F259" s="37"/>
      <c r="G259" s="37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 ht="11.25" customHeight="1">
      <c r="A260" s="29"/>
      <c r="B260" s="37"/>
      <c r="C260" s="29"/>
      <c r="D260" s="29"/>
      <c r="E260" s="37"/>
      <c r="F260" s="37"/>
      <c r="G260" s="37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 ht="11.25" customHeight="1">
      <c r="A261" s="29"/>
      <c r="B261" s="37"/>
      <c r="C261" s="29"/>
      <c r="D261" s="29"/>
      <c r="E261" s="37"/>
      <c r="F261" s="37"/>
      <c r="G261" s="37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 ht="11.25" customHeight="1">
      <c r="A262" s="29"/>
      <c r="B262" s="37"/>
      <c r="C262" s="29"/>
      <c r="D262" s="29"/>
      <c r="E262" s="37"/>
      <c r="F262" s="37"/>
      <c r="G262" s="37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 ht="11.25" customHeight="1">
      <c r="A263" s="29"/>
      <c r="B263" s="37"/>
      <c r="C263" s="29"/>
      <c r="D263" s="29"/>
      <c r="E263" s="37"/>
      <c r="F263" s="37"/>
      <c r="G263" s="37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 ht="11.25" customHeight="1">
      <c r="A264" s="29"/>
      <c r="B264" s="37"/>
      <c r="C264" s="29"/>
      <c r="D264" s="29"/>
      <c r="E264" s="37"/>
      <c r="F264" s="37"/>
      <c r="G264" s="37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 ht="11.25" customHeight="1">
      <c r="A265" s="29"/>
      <c r="B265" s="37"/>
      <c r="C265" s="29"/>
      <c r="D265" s="29"/>
      <c r="E265" s="37"/>
      <c r="F265" s="37"/>
      <c r="G265" s="37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 ht="11.25" customHeight="1">
      <c r="A266" s="29"/>
      <c r="B266" s="37"/>
      <c r="C266" s="29"/>
      <c r="D266" s="29"/>
      <c r="E266" s="37"/>
      <c r="F266" s="37"/>
      <c r="G266" s="37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 ht="11.25" customHeight="1">
      <c r="A267" s="29"/>
      <c r="B267" s="37"/>
      <c r="C267" s="29"/>
      <c r="D267" s="29"/>
      <c r="E267" s="37"/>
      <c r="F267" s="37"/>
      <c r="G267" s="37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 ht="11.25" customHeight="1">
      <c r="A268" s="29"/>
      <c r="B268" s="37"/>
      <c r="C268" s="29"/>
      <c r="D268" s="29"/>
      <c r="E268" s="37"/>
      <c r="F268" s="37"/>
      <c r="G268" s="37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 ht="11.25" customHeight="1">
      <c r="A269" s="29"/>
      <c r="B269" s="37"/>
      <c r="C269" s="29"/>
      <c r="D269" s="29"/>
      <c r="E269" s="37"/>
      <c r="F269" s="37"/>
      <c r="G269" s="37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 ht="11.25" customHeight="1">
      <c r="A270" s="29"/>
      <c r="B270" s="37"/>
      <c r="C270" s="29"/>
      <c r="D270" s="29"/>
      <c r="E270" s="37"/>
      <c r="F270" s="37"/>
      <c r="G270" s="37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 ht="11.25" customHeight="1">
      <c r="A271" s="29"/>
      <c r="B271" s="37"/>
      <c r="C271" s="29"/>
      <c r="D271" s="29"/>
      <c r="E271" s="37"/>
      <c r="F271" s="37"/>
      <c r="G271" s="37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 ht="11.25" customHeight="1">
      <c r="A272" s="29"/>
      <c r="B272" s="37"/>
      <c r="C272" s="29"/>
      <c r="D272" s="29"/>
      <c r="E272" s="37"/>
      <c r="F272" s="37"/>
      <c r="G272" s="37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 ht="11.25" customHeight="1">
      <c r="A273" s="29"/>
      <c r="B273" s="37"/>
      <c r="C273" s="29"/>
      <c r="D273" s="29"/>
      <c r="E273" s="37"/>
      <c r="F273" s="37"/>
      <c r="G273" s="37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 ht="11.25" customHeight="1">
      <c r="A274" s="29"/>
      <c r="B274" s="37"/>
      <c r="C274" s="29"/>
      <c r="D274" s="29"/>
      <c r="E274" s="37"/>
      <c r="F274" s="37"/>
      <c r="G274" s="37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 ht="11.25" customHeight="1">
      <c r="A275" s="29"/>
      <c r="B275" s="37"/>
      <c r="C275" s="29"/>
      <c r="D275" s="29"/>
      <c r="E275" s="37"/>
      <c r="F275" s="37"/>
      <c r="G275" s="37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 ht="11.25" customHeight="1">
      <c r="A276" s="29"/>
      <c r="B276" s="37"/>
      <c r="C276" s="29"/>
      <c r="D276" s="29"/>
      <c r="E276" s="37"/>
      <c r="F276" s="37"/>
      <c r="G276" s="37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 ht="11.25" customHeight="1">
      <c r="A277" s="29"/>
      <c r="B277" s="37"/>
      <c r="C277" s="29"/>
      <c r="D277" s="29"/>
      <c r="E277" s="37"/>
      <c r="F277" s="37"/>
      <c r="G277" s="37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 ht="11.25" customHeight="1">
      <c r="A278" s="29"/>
      <c r="B278" s="37"/>
      <c r="C278" s="29"/>
      <c r="D278" s="29"/>
      <c r="E278" s="37"/>
      <c r="F278" s="37"/>
      <c r="G278" s="37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 ht="11.25" customHeight="1">
      <c r="A279" s="29"/>
      <c r="B279" s="37"/>
      <c r="C279" s="29"/>
      <c r="D279" s="29"/>
      <c r="E279" s="37"/>
      <c r="F279" s="37"/>
      <c r="G279" s="37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 ht="11.25" customHeight="1">
      <c r="A280" s="29"/>
      <c r="B280" s="37"/>
      <c r="C280" s="29"/>
      <c r="D280" s="29"/>
      <c r="E280" s="37"/>
      <c r="F280" s="37"/>
      <c r="G280" s="37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 ht="11.25" customHeight="1">
      <c r="A281" s="29"/>
      <c r="B281" s="37"/>
      <c r="C281" s="29"/>
      <c r="D281" s="29"/>
      <c r="E281" s="37"/>
      <c r="F281" s="37"/>
      <c r="G281" s="37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 ht="11.25" customHeight="1">
      <c r="A282" s="29"/>
      <c r="B282" s="37"/>
      <c r="C282" s="29"/>
      <c r="D282" s="29"/>
      <c r="E282" s="37"/>
      <c r="F282" s="37"/>
      <c r="G282" s="37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 ht="11.25" customHeight="1">
      <c r="A283" s="29"/>
      <c r="B283" s="37"/>
      <c r="C283" s="29"/>
      <c r="D283" s="29"/>
      <c r="E283" s="37"/>
      <c r="F283" s="37"/>
      <c r="G283" s="37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 ht="11.25" customHeight="1">
      <c r="A284" s="29"/>
      <c r="B284" s="37"/>
      <c r="C284" s="29"/>
      <c r="D284" s="29"/>
      <c r="E284" s="37"/>
      <c r="F284" s="37"/>
      <c r="G284" s="37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 ht="11.25" customHeight="1">
      <c r="A285" s="29"/>
      <c r="B285" s="37"/>
      <c r="C285" s="29"/>
      <c r="D285" s="29"/>
      <c r="E285" s="37"/>
      <c r="F285" s="37"/>
      <c r="G285" s="37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 ht="11.25" customHeight="1">
      <c r="A286" s="29"/>
      <c r="B286" s="37"/>
      <c r="C286" s="29"/>
      <c r="D286" s="29"/>
      <c r="E286" s="37"/>
      <c r="F286" s="37"/>
      <c r="G286" s="37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 ht="11.25" customHeight="1">
      <c r="A287" s="29"/>
      <c r="B287" s="37"/>
      <c r="C287" s="29"/>
      <c r="D287" s="29"/>
      <c r="E287" s="37"/>
      <c r="F287" s="37"/>
      <c r="G287" s="37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 ht="11.25" customHeight="1">
      <c r="A288" s="29"/>
      <c r="B288" s="37"/>
      <c r="C288" s="29"/>
      <c r="D288" s="29"/>
      <c r="E288" s="37"/>
      <c r="F288" s="37"/>
      <c r="G288" s="37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 ht="11.25" customHeight="1">
      <c r="A289" s="29"/>
      <c r="B289" s="37"/>
      <c r="C289" s="29"/>
      <c r="D289" s="29"/>
      <c r="E289" s="37"/>
      <c r="F289" s="37"/>
      <c r="G289" s="37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 ht="11.25" customHeight="1">
      <c r="A290" s="29"/>
      <c r="B290" s="37"/>
      <c r="C290" s="29"/>
      <c r="D290" s="29"/>
      <c r="E290" s="37"/>
      <c r="F290" s="37"/>
      <c r="G290" s="37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 ht="11.25" customHeight="1">
      <c r="A291" s="29"/>
      <c r="B291" s="37"/>
      <c r="C291" s="29"/>
      <c r="D291" s="29"/>
      <c r="E291" s="37"/>
      <c r="F291" s="37"/>
      <c r="G291" s="37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 ht="11.25" customHeight="1">
      <c r="A292" s="29"/>
      <c r="B292" s="37"/>
      <c r="C292" s="29"/>
      <c r="D292" s="29"/>
      <c r="E292" s="37"/>
      <c r="F292" s="37"/>
      <c r="G292" s="37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 ht="11.25" customHeight="1">
      <c r="A293" s="29"/>
      <c r="B293" s="37"/>
      <c r="C293" s="29"/>
      <c r="D293" s="29"/>
      <c r="E293" s="37"/>
      <c r="F293" s="37"/>
      <c r="G293" s="37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 ht="11.25" customHeight="1">
      <c r="A294" s="29"/>
      <c r="B294" s="37"/>
      <c r="C294" s="29"/>
      <c r="D294" s="29"/>
      <c r="E294" s="37"/>
      <c r="F294" s="37"/>
      <c r="G294" s="37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 ht="11.25" customHeight="1">
      <c r="A295" s="29"/>
      <c r="B295" s="37"/>
      <c r="C295" s="29"/>
      <c r="D295" s="29"/>
      <c r="E295" s="37"/>
      <c r="F295" s="37"/>
      <c r="G295" s="37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 ht="11.25" customHeight="1">
      <c r="A296" s="29"/>
      <c r="B296" s="37"/>
      <c r="C296" s="29"/>
      <c r="D296" s="29"/>
      <c r="E296" s="37"/>
      <c r="F296" s="37"/>
      <c r="G296" s="37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 ht="11.25" customHeight="1">
      <c r="A297" s="29"/>
      <c r="B297" s="37"/>
      <c r="C297" s="29"/>
      <c r="D297" s="29"/>
      <c r="E297" s="37"/>
      <c r="F297" s="37"/>
      <c r="G297" s="37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 ht="11.25" customHeight="1">
      <c r="A298" s="29"/>
      <c r="B298" s="37"/>
      <c r="C298" s="29"/>
      <c r="D298" s="29"/>
      <c r="E298" s="37"/>
      <c r="F298" s="37"/>
      <c r="G298" s="37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 ht="11.25" customHeight="1">
      <c r="A299" s="29"/>
      <c r="B299" s="37"/>
      <c r="C299" s="29"/>
      <c r="D299" s="29"/>
      <c r="E299" s="37"/>
      <c r="F299" s="37"/>
      <c r="G299" s="37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 ht="11.25" customHeight="1">
      <c r="A300" s="29"/>
      <c r="B300" s="37"/>
      <c r="C300" s="29"/>
      <c r="D300" s="29"/>
      <c r="E300" s="37"/>
      <c r="F300" s="37"/>
      <c r="G300" s="37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 ht="11.25" customHeight="1">
      <c r="A301" s="29"/>
      <c r="B301" s="37"/>
      <c r="C301" s="29"/>
      <c r="D301" s="29"/>
      <c r="E301" s="37"/>
      <c r="F301" s="37"/>
      <c r="G301" s="37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 ht="11.25" customHeight="1">
      <c r="A302" s="29"/>
      <c r="B302" s="37"/>
      <c r="C302" s="29"/>
      <c r="D302" s="29"/>
      <c r="E302" s="37"/>
      <c r="F302" s="37"/>
      <c r="G302" s="37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 ht="11.25" customHeight="1">
      <c r="A303" s="29"/>
      <c r="B303" s="37"/>
      <c r="C303" s="29"/>
      <c r="D303" s="29"/>
      <c r="E303" s="37"/>
      <c r="F303" s="37"/>
      <c r="G303" s="37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 ht="11.25" customHeight="1">
      <c r="A304" s="29"/>
      <c r="B304" s="37"/>
      <c r="C304" s="29"/>
      <c r="D304" s="29"/>
      <c r="E304" s="37"/>
      <c r="F304" s="37"/>
      <c r="G304" s="37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 ht="11.25" customHeight="1">
      <c r="A305" s="29"/>
      <c r="B305" s="37"/>
      <c r="C305" s="29"/>
      <c r="D305" s="29"/>
      <c r="E305" s="37"/>
      <c r="F305" s="37"/>
      <c r="G305" s="37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 ht="11.25" customHeight="1">
      <c r="A306" s="29"/>
      <c r="B306" s="37"/>
      <c r="C306" s="29"/>
      <c r="D306" s="29"/>
      <c r="E306" s="37"/>
      <c r="F306" s="37"/>
      <c r="G306" s="37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 ht="11.25" customHeight="1">
      <c r="A307" s="29"/>
      <c r="B307" s="37"/>
      <c r="C307" s="29"/>
      <c r="D307" s="29"/>
      <c r="E307" s="37"/>
      <c r="F307" s="37"/>
      <c r="G307" s="37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 ht="11.25" customHeight="1">
      <c r="A308" s="29"/>
      <c r="B308" s="37"/>
      <c r="C308" s="29"/>
      <c r="D308" s="29"/>
      <c r="E308" s="37"/>
      <c r="F308" s="37"/>
      <c r="G308" s="37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 ht="11.25" customHeight="1">
      <c r="A309" s="29"/>
      <c r="B309" s="37"/>
      <c r="C309" s="29"/>
      <c r="D309" s="29"/>
      <c r="E309" s="37"/>
      <c r="F309" s="37"/>
      <c r="G309" s="37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 ht="11.25" customHeight="1">
      <c r="A310" s="29"/>
      <c r="B310" s="37"/>
      <c r="C310" s="29"/>
      <c r="D310" s="29"/>
      <c r="E310" s="37"/>
      <c r="F310" s="37"/>
      <c r="G310" s="37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 ht="11.25" customHeight="1">
      <c r="A311" s="29"/>
      <c r="B311" s="37"/>
      <c r="C311" s="29"/>
      <c r="D311" s="29"/>
      <c r="E311" s="37"/>
      <c r="F311" s="37"/>
      <c r="G311" s="37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 ht="11.25" customHeight="1">
      <c r="A312" s="29"/>
      <c r="B312" s="37"/>
      <c r="C312" s="29"/>
      <c r="D312" s="29"/>
      <c r="E312" s="37"/>
      <c r="F312" s="37"/>
      <c r="G312" s="37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 ht="11.25" customHeight="1">
      <c r="A313" s="29"/>
      <c r="B313" s="37"/>
      <c r="C313" s="29"/>
      <c r="D313" s="29"/>
      <c r="E313" s="37"/>
      <c r="F313" s="37"/>
      <c r="G313" s="37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 ht="11.25" customHeight="1">
      <c r="A314" s="29"/>
      <c r="B314" s="37"/>
      <c r="C314" s="29"/>
      <c r="D314" s="29"/>
      <c r="E314" s="37"/>
      <c r="F314" s="37"/>
      <c r="G314" s="37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 ht="11.25" customHeight="1">
      <c r="A315" s="29"/>
      <c r="B315" s="37"/>
      <c r="C315" s="29"/>
      <c r="D315" s="29"/>
      <c r="E315" s="37"/>
      <c r="F315" s="37"/>
      <c r="G315" s="37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 ht="11.25" customHeight="1">
      <c r="A316" s="29"/>
      <c r="B316" s="37"/>
      <c r="C316" s="29"/>
      <c r="D316" s="29"/>
      <c r="E316" s="37"/>
      <c r="F316" s="37"/>
      <c r="G316" s="37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 ht="11.25" customHeight="1">
      <c r="A317" s="29"/>
      <c r="B317" s="37"/>
      <c r="C317" s="29"/>
      <c r="D317" s="29"/>
      <c r="E317" s="37"/>
      <c r="F317" s="37"/>
      <c r="G317" s="37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 ht="11.25" customHeight="1">
      <c r="A318" s="29"/>
      <c r="B318" s="37"/>
      <c r="C318" s="29"/>
      <c r="D318" s="29"/>
      <c r="E318" s="37"/>
      <c r="F318" s="37"/>
      <c r="G318" s="37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 ht="11.25" customHeight="1">
      <c r="A319" s="29"/>
      <c r="B319" s="37"/>
      <c r="C319" s="29"/>
      <c r="D319" s="29"/>
      <c r="E319" s="37"/>
      <c r="F319" s="37"/>
      <c r="G319" s="37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 ht="11.25" customHeight="1">
      <c r="A320" s="29"/>
      <c r="B320" s="37"/>
      <c r="C320" s="29"/>
      <c r="D320" s="29"/>
      <c r="E320" s="37"/>
      <c r="F320" s="37"/>
      <c r="G320" s="37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 ht="11.25" customHeight="1">
      <c r="A321" s="29"/>
      <c r="B321" s="37"/>
      <c r="C321" s="29"/>
      <c r="D321" s="29"/>
      <c r="E321" s="37"/>
      <c r="F321" s="37"/>
      <c r="G321" s="37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 ht="11.25" customHeight="1">
      <c r="A322" s="29"/>
      <c r="B322" s="37"/>
      <c r="C322" s="29"/>
      <c r="D322" s="29"/>
      <c r="E322" s="37"/>
      <c r="F322" s="37"/>
      <c r="G322" s="37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 ht="11.25" customHeight="1">
      <c r="A323" s="29"/>
      <c r="B323" s="37"/>
      <c r="C323" s="29"/>
      <c r="D323" s="29"/>
      <c r="E323" s="37"/>
      <c r="F323" s="37"/>
      <c r="G323" s="37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 ht="11.25" customHeight="1">
      <c r="A324" s="29"/>
      <c r="B324" s="37"/>
      <c r="C324" s="29"/>
      <c r="D324" s="29"/>
      <c r="E324" s="37"/>
      <c r="F324" s="37"/>
      <c r="G324" s="37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 ht="11.25" customHeight="1">
      <c r="A325" s="29"/>
      <c r="B325" s="37"/>
      <c r="C325" s="29"/>
      <c r="D325" s="29"/>
      <c r="E325" s="37"/>
      <c r="F325" s="37"/>
      <c r="G325" s="37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 ht="11.25" customHeight="1">
      <c r="A326" s="29"/>
      <c r="B326" s="37"/>
      <c r="C326" s="29"/>
      <c r="D326" s="29"/>
      <c r="E326" s="37"/>
      <c r="F326" s="37"/>
      <c r="G326" s="37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 ht="11.25" customHeight="1">
      <c r="A327" s="29"/>
      <c r="B327" s="37"/>
      <c r="C327" s="29"/>
      <c r="D327" s="29"/>
      <c r="E327" s="37"/>
      <c r="F327" s="37"/>
      <c r="G327" s="37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 ht="11.25" customHeight="1">
      <c r="A328" s="29"/>
      <c r="B328" s="37"/>
      <c r="C328" s="29"/>
      <c r="D328" s="29"/>
      <c r="E328" s="37"/>
      <c r="F328" s="37"/>
      <c r="G328" s="37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 ht="11.25" customHeight="1">
      <c r="A329" s="29"/>
      <c r="B329" s="37"/>
      <c r="C329" s="29"/>
      <c r="D329" s="29"/>
      <c r="E329" s="37"/>
      <c r="F329" s="37"/>
      <c r="G329" s="37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 ht="11.25" customHeight="1">
      <c r="A330" s="29"/>
      <c r="B330" s="37"/>
      <c r="C330" s="29"/>
      <c r="D330" s="29"/>
      <c r="E330" s="37"/>
      <c r="F330" s="37"/>
      <c r="G330" s="37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 ht="11.25" customHeight="1">
      <c r="A331" s="29"/>
      <c r="B331" s="37"/>
      <c r="C331" s="29"/>
      <c r="D331" s="29"/>
      <c r="E331" s="37"/>
      <c r="F331" s="37"/>
      <c r="G331" s="37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 ht="11.25" customHeight="1">
      <c r="A332" s="29"/>
      <c r="B332" s="37"/>
      <c r="C332" s="29"/>
      <c r="D332" s="29"/>
      <c r="E332" s="37"/>
      <c r="F332" s="37"/>
      <c r="G332" s="37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 ht="11.25" customHeight="1">
      <c r="A333" s="29"/>
      <c r="B333" s="37"/>
      <c r="C333" s="29"/>
      <c r="D333" s="29"/>
      <c r="E333" s="37"/>
      <c r="F333" s="37"/>
      <c r="G333" s="37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 ht="11.25" customHeight="1">
      <c r="A334" s="29"/>
      <c r="B334" s="37"/>
      <c r="C334" s="29"/>
      <c r="D334" s="29"/>
      <c r="E334" s="37"/>
      <c r="F334" s="37"/>
      <c r="G334" s="37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 ht="11.25" customHeight="1">
      <c r="A335" s="29"/>
      <c r="B335" s="37"/>
      <c r="C335" s="29"/>
      <c r="D335" s="29"/>
      <c r="E335" s="37"/>
      <c r="F335" s="37"/>
      <c r="G335" s="37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 ht="11.25" customHeight="1">
      <c r="A336" s="29"/>
      <c r="B336" s="37"/>
      <c r="C336" s="29"/>
      <c r="D336" s="29"/>
      <c r="E336" s="37"/>
      <c r="F336" s="37"/>
      <c r="G336" s="37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 ht="11.25" customHeight="1">
      <c r="A337" s="29"/>
      <c r="B337" s="37"/>
      <c r="C337" s="29"/>
      <c r="D337" s="29"/>
      <c r="E337" s="37"/>
      <c r="F337" s="37"/>
      <c r="G337" s="37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 ht="11.25" customHeight="1">
      <c r="A338" s="29"/>
      <c r="B338" s="37"/>
      <c r="C338" s="29"/>
      <c r="D338" s="29"/>
      <c r="E338" s="37"/>
      <c r="F338" s="37"/>
      <c r="G338" s="37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 ht="11.25" customHeight="1">
      <c r="A339" s="29"/>
      <c r="B339" s="37"/>
      <c r="C339" s="29"/>
      <c r="D339" s="29"/>
      <c r="E339" s="37"/>
      <c r="F339" s="37"/>
      <c r="G339" s="37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 ht="11.25" customHeight="1">
      <c r="A340" s="29"/>
      <c r="B340" s="37"/>
      <c r="C340" s="29"/>
      <c r="D340" s="29"/>
      <c r="E340" s="37"/>
      <c r="F340" s="37"/>
      <c r="G340" s="37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 ht="11.25" customHeight="1">
      <c r="A341" s="29"/>
      <c r="B341" s="37"/>
      <c r="C341" s="29"/>
      <c r="D341" s="29"/>
      <c r="E341" s="37"/>
      <c r="F341" s="37"/>
      <c r="G341" s="37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 ht="11.25" customHeight="1">
      <c r="A342" s="29"/>
      <c r="B342" s="37"/>
      <c r="C342" s="29"/>
      <c r="D342" s="29"/>
      <c r="E342" s="37"/>
      <c r="F342" s="37"/>
      <c r="G342" s="37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 ht="11.25" customHeight="1">
      <c r="A343" s="29"/>
      <c r="B343" s="37"/>
      <c r="C343" s="29"/>
      <c r="D343" s="29"/>
      <c r="E343" s="37"/>
      <c r="F343" s="37"/>
      <c r="G343" s="37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 ht="11.25" customHeight="1">
      <c r="A344" s="29"/>
      <c r="B344" s="37"/>
      <c r="C344" s="29"/>
      <c r="D344" s="29"/>
      <c r="E344" s="37"/>
      <c r="F344" s="37"/>
      <c r="G344" s="37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 ht="11.25" customHeight="1">
      <c r="A345" s="29"/>
      <c r="B345" s="37"/>
      <c r="C345" s="29"/>
      <c r="D345" s="29"/>
      <c r="E345" s="37"/>
      <c r="F345" s="37"/>
      <c r="G345" s="37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 ht="11.25" customHeight="1">
      <c r="A346" s="29"/>
      <c r="B346" s="37"/>
      <c r="C346" s="29"/>
      <c r="D346" s="29"/>
      <c r="E346" s="37"/>
      <c r="F346" s="37"/>
      <c r="G346" s="37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 ht="11.25" customHeight="1">
      <c r="A347" s="29"/>
      <c r="B347" s="37"/>
      <c r="C347" s="29"/>
      <c r="D347" s="29"/>
      <c r="E347" s="37"/>
      <c r="F347" s="37"/>
      <c r="G347" s="37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 ht="11.25" customHeight="1">
      <c r="A348" s="29"/>
      <c r="B348" s="37"/>
      <c r="C348" s="29"/>
      <c r="D348" s="29"/>
      <c r="E348" s="37"/>
      <c r="F348" s="37"/>
      <c r="G348" s="37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 ht="11.25" customHeight="1">
      <c r="A349" s="29"/>
      <c r="B349" s="37"/>
      <c r="C349" s="29"/>
      <c r="D349" s="29"/>
      <c r="E349" s="37"/>
      <c r="F349" s="37"/>
      <c r="G349" s="37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 ht="11.25" customHeight="1">
      <c r="A350" s="29"/>
      <c r="B350" s="37"/>
      <c r="C350" s="29"/>
      <c r="D350" s="29"/>
      <c r="E350" s="37"/>
      <c r="F350" s="37"/>
      <c r="G350" s="37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 ht="11.25" customHeight="1">
      <c r="A351" s="29"/>
      <c r="B351" s="37"/>
      <c r="C351" s="29"/>
      <c r="D351" s="29"/>
      <c r="E351" s="37"/>
      <c r="F351" s="37"/>
      <c r="G351" s="37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 ht="11.25" customHeight="1">
      <c r="A352" s="29"/>
      <c r="B352" s="37"/>
      <c r="C352" s="29"/>
      <c r="D352" s="29"/>
      <c r="E352" s="37"/>
      <c r="F352" s="37"/>
      <c r="G352" s="37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 ht="11.25" customHeight="1">
      <c r="A353" s="29"/>
      <c r="B353" s="37"/>
      <c r="C353" s="29"/>
      <c r="D353" s="29"/>
      <c r="E353" s="37"/>
      <c r="F353" s="37"/>
      <c r="G353" s="37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 ht="11.25" customHeight="1">
      <c r="A354" s="29"/>
      <c r="B354" s="37"/>
      <c r="C354" s="29"/>
      <c r="D354" s="29"/>
      <c r="E354" s="37"/>
      <c r="F354" s="37"/>
      <c r="G354" s="37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 ht="11.25" customHeight="1">
      <c r="A355" s="29"/>
      <c r="B355" s="37"/>
      <c r="C355" s="29"/>
      <c r="D355" s="29"/>
      <c r="E355" s="37"/>
      <c r="F355" s="37"/>
      <c r="G355" s="37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 ht="11.25" customHeight="1">
      <c r="A356" s="29"/>
      <c r="B356" s="37"/>
      <c r="C356" s="29"/>
      <c r="D356" s="29"/>
      <c r="E356" s="37"/>
      <c r="F356" s="37"/>
      <c r="G356" s="37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 ht="11.25" customHeight="1">
      <c r="A357" s="29"/>
      <c r="B357" s="37"/>
      <c r="C357" s="29"/>
      <c r="D357" s="29"/>
      <c r="E357" s="37"/>
      <c r="F357" s="37"/>
      <c r="G357" s="37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 ht="11.25" customHeight="1">
      <c r="A358" s="29"/>
      <c r="B358" s="37"/>
      <c r="C358" s="29"/>
      <c r="D358" s="29"/>
      <c r="E358" s="37"/>
      <c r="F358" s="37"/>
      <c r="G358" s="37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 ht="11.25" customHeight="1">
      <c r="A359" s="29"/>
      <c r="B359" s="37"/>
      <c r="C359" s="29"/>
      <c r="D359" s="29"/>
      <c r="E359" s="37"/>
      <c r="F359" s="37"/>
      <c r="G359" s="37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 ht="11.25" customHeight="1">
      <c r="A360" s="29"/>
      <c r="B360" s="37"/>
      <c r="C360" s="29"/>
      <c r="D360" s="29"/>
      <c r="E360" s="37"/>
      <c r="F360" s="37"/>
      <c r="G360" s="37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 ht="11.25" customHeight="1">
      <c r="A361" s="29"/>
      <c r="B361" s="37"/>
      <c r="C361" s="29"/>
      <c r="D361" s="29"/>
      <c r="E361" s="37"/>
      <c r="F361" s="37"/>
      <c r="G361" s="37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 ht="11.25" customHeight="1">
      <c r="A362" s="29"/>
      <c r="B362" s="37"/>
      <c r="C362" s="29"/>
      <c r="D362" s="29"/>
      <c r="E362" s="37"/>
      <c r="F362" s="37"/>
      <c r="G362" s="37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 ht="11.25" customHeight="1">
      <c r="A363" s="29"/>
      <c r="B363" s="37"/>
      <c r="C363" s="29"/>
      <c r="D363" s="29"/>
      <c r="E363" s="37"/>
      <c r="F363" s="37"/>
      <c r="G363" s="37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 ht="11.25" customHeight="1">
      <c r="A364" s="29"/>
      <c r="B364" s="37"/>
      <c r="C364" s="29"/>
      <c r="D364" s="29"/>
      <c r="E364" s="37"/>
      <c r="F364" s="37"/>
      <c r="G364" s="37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 ht="11.25" customHeight="1">
      <c r="A365" s="29"/>
      <c r="B365" s="37"/>
      <c r="C365" s="29"/>
      <c r="D365" s="29"/>
      <c r="E365" s="37"/>
      <c r="F365" s="37"/>
      <c r="G365" s="37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 ht="11.25" customHeight="1">
      <c r="A366" s="29"/>
      <c r="B366" s="37"/>
      <c r="C366" s="29"/>
      <c r="D366" s="29"/>
      <c r="E366" s="37"/>
      <c r="F366" s="37"/>
      <c r="G366" s="37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 ht="11.25" customHeight="1">
      <c r="A367" s="29"/>
      <c r="B367" s="37"/>
      <c r="C367" s="29"/>
      <c r="D367" s="29"/>
      <c r="E367" s="37"/>
      <c r="F367" s="37"/>
      <c r="G367" s="37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 ht="11.25" customHeight="1">
      <c r="A368" s="29"/>
      <c r="B368" s="37"/>
      <c r="C368" s="29"/>
      <c r="D368" s="29"/>
      <c r="E368" s="37"/>
      <c r="F368" s="37"/>
      <c r="G368" s="37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 ht="11.25" customHeight="1">
      <c r="A369" s="29"/>
      <c r="B369" s="37"/>
      <c r="C369" s="29"/>
      <c r="D369" s="29"/>
      <c r="E369" s="37"/>
      <c r="F369" s="37"/>
      <c r="G369" s="37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 ht="11.25" customHeight="1">
      <c r="A370" s="29"/>
      <c r="B370" s="37"/>
      <c r="C370" s="29"/>
      <c r="D370" s="29"/>
      <c r="E370" s="37"/>
      <c r="F370" s="37"/>
      <c r="G370" s="37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 ht="11.25" customHeight="1">
      <c r="A371" s="29"/>
      <c r="B371" s="37"/>
      <c r="C371" s="29"/>
      <c r="D371" s="29"/>
      <c r="E371" s="37"/>
      <c r="F371" s="37"/>
      <c r="G371" s="37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 ht="11.25" customHeight="1">
      <c r="A372" s="29"/>
      <c r="B372" s="37"/>
      <c r="C372" s="29"/>
      <c r="D372" s="29"/>
      <c r="E372" s="37"/>
      <c r="F372" s="37"/>
      <c r="G372" s="37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 ht="11.25" customHeight="1">
      <c r="A373" s="29"/>
      <c r="B373" s="37"/>
      <c r="C373" s="29"/>
      <c r="D373" s="29"/>
      <c r="E373" s="37"/>
      <c r="F373" s="37"/>
      <c r="G373" s="37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 ht="11.25" customHeight="1">
      <c r="A374" s="29"/>
      <c r="B374" s="37"/>
      <c r="C374" s="29"/>
      <c r="D374" s="29"/>
      <c r="E374" s="37"/>
      <c r="F374" s="37"/>
      <c r="G374" s="37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 ht="11.25" customHeight="1">
      <c r="A375" s="29"/>
      <c r="B375" s="37"/>
      <c r="C375" s="29"/>
      <c r="D375" s="29"/>
      <c r="E375" s="37"/>
      <c r="F375" s="37"/>
      <c r="G375" s="37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 ht="11.25" customHeight="1">
      <c r="A376" s="29"/>
      <c r="B376" s="37"/>
      <c r="C376" s="29"/>
      <c r="D376" s="29"/>
      <c r="E376" s="37"/>
      <c r="F376" s="37"/>
      <c r="G376" s="37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 ht="11.25" customHeight="1">
      <c r="A377" s="29"/>
      <c r="B377" s="37"/>
      <c r="C377" s="29"/>
      <c r="D377" s="29"/>
      <c r="E377" s="37"/>
      <c r="F377" s="37"/>
      <c r="G377" s="37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 ht="11.25" customHeight="1">
      <c r="A378" s="29"/>
      <c r="B378" s="37"/>
      <c r="C378" s="29"/>
      <c r="D378" s="29"/>
      <c r="E378" s="37"/>
      <c r="F378" s="37"/>
      <c r="G378" s="37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 ht="11.25" customHeight="1">
      <c r="A379" s="29"/>
      <c r="B379" s="37"/>
      <c r="C379" s="29"/>
      <c r="D379" s="29"/>
      <c r="E379" s="37"/>
      <c r="F379" s="37"/>
      <c r="G379" s="37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 ht="11.25" customHeight="1">
      <c r="A380" s="29"/>
      <c r="B380" s="37"/>
      <c r="C380" s="29"/>
      <c r="D380" s="29"/>
      <c r="E380" s="37"/>
      <c r="F380" s="37"/>
      <c r="G380" s="37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 ht="11.25" customHeight="1">
      <c r="A381" s="29"/>
      <c r="B381" s="37"/>
      <c r="C381" s="29"/>
      <c r="D381" s="29"/>
      <c r="E381" s="37"/>
      <c r="F381" s="37"/>
      <c r="G381" s="37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 ht="11.25" customHeight="1">
      <c r="A382" s="29"/>
      <c r="B382" s="37"/>
      <c r="C382" s="29"/>
      <c r="D382" s="29"/>
      <c r="E382" s="37"/>
      <c r="F382" s="37"/>
      <c r="G382" s="37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 ht="11.25" customHeight="1">
      <c r="A383" s="29"/>
      <c r="B383" s="37"/>
      <c r="C383" s="29"/>
      <c r="D383" s="29"/>
      <c r="E383" s="37"/>
      <c r="F383" s="37"/>
      <c r="G383" s="37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 ht="11.25" customHeight="1">
      <c r="A384" s="29"/>
      <c r="B384" s="37"/>
      <c r="C384" s="29"/>
      <c r="D384" s="29"/>
      <c r="E384" s="37"/>
      <c r="F384" s="37"/>
      <c r="G384" s="37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 ht="11.25" customHeight="1">
      <c r="A385" s="29"/>
      <c r="B385" s="37"/>
      <c r="C385" s="29"/>
      <c r="D385" s="29"/>
      <c r="E385" s="37"/>
      <c r="F385" s="37"/>
      <c r="G385" s="37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 ht="11.25" customHeight="1">
      <c r="A386" s="29"/>
      <c r="B386" s="37"/>
      <c r="C386" s="29"/>
      <c r="D386" s="29"/>
      <c r="E386" s="37"/>
      <c r="F386" s="37"/>
      <c r="G386" s="37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 ht="11.25" customHeight="1">
      <c r="A387" s="29"/>
      <c r="B387" s="37"/>
      <c r="C387" s="29"/>
      <c r="D387" s="29"/>
      <c r="E387" s="37"/>
      <c r="F387" s="37"/>
      <c r="G387" s="37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 ht="11.25" customHeight="1">
      <c r="A388" s="29"/>
      <c r="B388" s="37"/>
      <c r="C388" s="29"/>
      <c r="D388" s="29"/>
      <c r="E388" s="37"/>
      <c r="F388" s="37"/>
      <c r="G388" s="37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 ht="11.25" customHeight="1">
      <c r="A389" s="29"/>
      <c r="B389" s="37"/>
      <c r="C389" s="29"/>
      <c r="D389" s="29"/>
      <c r="E389" s="37"/>
      <c r="F389" s="37"/>
      <c r="G389" s="37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 ht="11.25" customHeight="1">
      <c r="A390" s="29"/>
      <c r="B390" s="37"/>
      <c r="C390" s="29"/>
      <c r="D390" s="29"/>
      <c r="E390" s="37"/>
      <c r="F390" s="37"/>
      <c r="G390" s="37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 ht="11.25" customHeight="1">
      <c r="A391" s="29"/>
      <c r="B391" s="37"/>
      <c r="C391" s="29"/>
      <c r="D391" s="29"/>
      <c r="E391" s="37"/>
      <c r="F391" s="37"/>
      <c r="G391" s="37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 ht="11.25" customHeight="1">
      <c r="A392" s="29"/>
      <c r="B392" s="37"/>
      <c r="C392" s="29"/>
      <c r="D392" s="29"/>
      <c r="E392" s="37"/>
      <c r="F392" s="37"/>
      <c r="G392" s="37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 ht="11.25" customHeight="1">
      <c r="A393" s="29"/>
      <c r="B393" s="37"/>
      <c r="C393" s="29"/>
      <c r="D393" s="29"/>
      <c r="E393" s="37"/>
      <c r="F393" s="37"/>
      <c r="G393" s="37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 ht="11.25" customHeight="1">
      <c r="A394" s="29"/>
      <c r="B394" s="37"/>
      <c r="C394" s="29"/>
      <c r="D394" s="29"/>
      <c r="E394" s="37"/>
      <c r="F394" s="37"/>
      <c r="G394" s="37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 ht="11.25" customHeight="1">
      <c r="A395" s="29"/>
      <c r="B395" s="37"/>
      <c r="C395" s="29"/>
      <c r="D395" s="29"/>
      <c r="E395" s="37"/>
      <c r="F395" s="37"/>
      <c r="G395" s="37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 ht="11.25" customHeight="1">
      <c r="A396" s="29"/>
      <c r="B396" s="37"/>
      <c r="C396" s="29"/>
      <c r="D396" s="29"/>
      <c r="E396" s="37"/>
      <c r="F396" s="37"/>
      <c r="G396" s="37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 ht="11.25" customHeight="1">
      <c r="A397" s="29"/>
      <c r="B397" s="37"/>
      <c r="C397" s="29"/>
      <c r="D397" s="29"/>
      <c r="E397" s="37"/>
      <c r="F397" s="37"/>
      <c r="G397" s="37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 ht="11.25" customHeight="1">
      <c r="A398" s="29"/>
      <c r="B398" s="37"/>
      <c r="C398" s="29"/>
      <c r="D398" s="29"/>
      <c r="E398" s="37"/>
      <c r="F398" s="37"/>
      <c r="G398" s="37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 ht="11.25" customHeight="1">
      <c r="A399" s="29"/>
      <c r="B399" s="37"/>
      <c r="C399" s="29"/>
      <c r="D399" s="29"/>
      <c r="E399" s="37"/>
      <c r="F399" s="37"/>
      <c r="G399" s="37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 ht="11.25" customHeight="1">
      <c r="A400" s="29"/>
      <c r="B400" s="37"/>
      <c r="C400" s="29"/>
      <c r="D400" s="29"/>
      <c r="E400" s="37"/>
      <c r="F400" s="37"/>
      <c r="G400" s="37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 ht="11.25" customHeight="1">
      <c r="A401" s="29"/>
      <c r="B401" s="37"/>
      <c r="C401" s="29"/>
      <c r="D401" s="29"/>
      <c r="E401" s="37"/>
      <c r="F401" s="37"/>
      <c r="G401" s="37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 ht="11.25" customHeight="1">
      <c r="A402" s="29"/>
      <c r="B402" s="37"/>
      <c r="C402" s="29"/>
      <c r="D402" s="29"/>
      <c r="E402" s="37"/>
      <c r="F402" s="37"/>
      <c r="G402" s="37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 ht="11.25" customHeight="1">
      <c r="A403" s="29"/>
      <c r="B403" s="37"/>
      <c r="C403" s="29"/>
      <c r="D403" s="29"/>
      <c r="E403" s="37"/>
      <c r="F403" s="37"/>
      <c r="G403" s="37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 ht="11.25" customHeight="1">
      <c r="A404" s="29"/>
      <c r="B404" s="37"/>
      <c r="C404" s="29"/>
      <c r="D404" s="29"/>
      <c r="E404" s="37"/>
      <c r="F404" s="37"/>
      <c r="G404" s="37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 ht="11.25" customHeight="1">
      <c r="A405" s="29"/>
      <c r="B405" s="37"/>
      <c r="C405" s="29"/>
      <c r="D405" s="29"/>
      <c r="E405" s="37"/>
      <c r="F405" s="37"/>
      <c r="G405" s="37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 ht="11.25" customHeight="1">
      <c r="A406" s="29"/>
      <c r="B406" s="37"/>
      <c r="C406" s="29"/>
      <c r="D406" s="29"/>
      <c r="E406" s="37"/>
      <c r="F406" s="37"/>
      <c r="G406" s="37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 ht="11.25" customHeight="1">
      <c r="A407" s="29"/>
      <c r="B407" s="37"/>
      <c r="C407" s="29"/>
      <c r="D407" s="29"/>
      <c r="E407" s="37"/>
      <c r="F407" s="37"/>
      <c r="G407" s="37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 ht="11.25" customHeight="1">
      <c r="A408" s="29"/>
      <c r="B408" s="37"/>
      <c r="C408" s="29"/>
      <c r="D408" s="29"/>
      <c r="E408" s="37"/>
      <c r="F408" s="37"/>
      <c r="G408" s="37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 ht="11.25" customHeight="1">
      <c r="A409" s="29"/>
      <c r="B409" s="37"/>
      <c r="C409" s="29"/>
      <c r="D409" s="29"/>
      <c r="E409" s="37"/>
      <c r="F409" s="37"/>
      <c r="G409" s="37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 ht="11.25" customHeight="1">
      <c r="A410" s="29"/>
      <c r="B410" s="37"/>
      <c r="C410" s="29"/>
      <c r="D410" s="29"/>
      <c r="E410" s="37"/>
      <c r="F410" s="37"/>
      <c r="G410" s="37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 ht="11.25" customHeight="1">
      <c r="A411" s="29"/>
      <c r="B411" s="37"/>
      <c r="C411" s="29"/>
      <c r="D411" s="29"/>
      <c r="E411" s="37"/>
      <c r="F411" s="37"/>
      <c r="G411" s="37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 ht="11.25" customHeight="1">
      <c r="A412" s="29"/>
      <c r="B412" s="37"/>
      <c r="C412" s="29"/>
      <c r="D412" s="29"/>
      <c r="E412" s="37"/>
      <c r="F412" s="37"/>
      <c r="G412" s="37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 ht="11.25" customHeight="1">
      <c r="A413" s="29"/>
      <c r="B413" s="37"/>
      <c r="C413" s="29"/>
      <c r="D413" s="29"/>
      <c r="E413" s="37"/>
      <c r="F413" s="37"/>
      <c r="G413" s="37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 ht="11.25" customHeight="1">
      <c r="A414" s="29"/>
      <c r="B414" s="37"/>
      <c r="C414" s="29"/>
      <c r="D414" s="29"/>
      <c r="E414" s="37"/>
      <c r="F414" s="37"/>
      <c r="G414" s="37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 ht="11.25" customHeight="1">
      <c r="A415" s="29"/>
      <c r="B415" s="37"/>
      <c r="C415" s="29"/>
      <c r="D415" s="29"/>
      <c r="E415" s="37"/>
      <c r="F415" s="37"/>
      <c r="G415" s="37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 ht="11.25" customHeight="1">
      <c r="A416" s="29"/>
      <c r="B416" s="37"/>
      <c r="C416" s="29"/>
      <c r="D416" s="29"/>
      <c r="E416" s="37"/>
      <c r="F416" s="37"/>
      <c r="G416" s="37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 ht="11.25" customHeight="1">
      <c r="A417" s="29"/>
      <c r="B417" s="37"/>
      <c r="C417" s="29"/>
      <c r="D417" s="29"/>
      <c r="E417" s="37"/>
      <c r="F417" s="37"/>
      <c r="G417" s="37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 ht="11.25" customHeight="1">
      <c r="A418" s="29"/>
      <c r="B418" s="37"/>
      <c r="C418" s="29"/>
      <c r="D418" s="29"/>
      <c r="E418" s="37"/>
      <c r="F418" s="37"/>
      <c r="G418" s="37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 ht="11.25" customHeight="1">
      <c r="A419" s="29"/>
      <c r="B419" s="37"/>
      <c r="C419" s="29"/>
      <c r="D419" s="29"/>
      <c r="E419" s="37"/>
      <c r="F419" s="37"/>
      <c r="G419" s="37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 ht="11.25" customHeight="1">
      <c r="A420" s="29"/>
      <c r="B420" s="37"/>
      <c r="C420" s="29"/>
      <c r="D420" s="29"/>
      <c r="E420" s="37"/>
      <c r="F420" s="37"/>
      <c r="G420" s="37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 ht="11.25" customHeight="1">
      <c r="A421" s="29"/>
      <c r="B421" s="37"/>
      <c r="C421" s="29"/>
      <c r="D421" s="29"/>
      <c r="E421" s="37"/>
      <c r="F421" s="37"/>
      <c r="G421" s="37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 ht="11.25" customHeight="1">
      <c r="A422" s="29"/>
      <c r="B422" s="37"/>
      <c r="C422" s="29"/>
      <c r="D422" s="29"/>
      <c r="E422" s="37"/>
      <c r="F422" s="37"/>
      <c r="G422" s="37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 ht="11.25" customHeight="1">
      <c r="A423" s="29"/>
      <c r="B423" s="37"/>
      <c r="C423" s="29"/>
      <c r="D423" s="29"/>
      <c r="E423" s="37"/>
      <c r="F423" s="37"/>
      <c r="G423" s="37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 ht="11.25" customHeight="1">
      <c r="A424" s="29"/>
      <c r="B424" s="37"/>
      <c r="C424" s="29"/>
      <c r="D424" s="29"/>
      <c r="E424" s="37"/>
      <c r="F424" s="37"/>
      <c r="G424" s="37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 ht="11.25" customHeight="1">
      <c r="A425" s="29"/>
      <c r="B425" s="37"/>
      <c r="C425" s="29"/>
      <c r="D425" s="29"/>
      <c r="E425" s="37"/>
      <c r="F425" s="37"/>
      <c r="G425" s="37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 ht="11.25" customHeight="1">
      <c r="A426" s="29"/>
      <c r="B426" s="37"/>
      <c r="C426" s="29"/>
      <c r="D426" s="29"/>
      <c r="E426" s="37"/>
      <c r="F426" s="37"/>
      <c r="G426" s="37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 ht="11.25" customHeight="1">
      <c r="A427" s="29"/>
      <c r="B427" s="37"/>
      <c r="C427" s="29"/>
      <c r="D427" s="29"/>
      <c r="E427" s="37"/>
      <c r="F427" s="37"/>
      <c r="G427" s="37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 ht="11.25" customHeight="1">
      <c r="A428" s="29"/>
      <c r="B428" s="37"/>
      <c r="C428" s="29"/>
      <c r="D428" s="29"/>
      <c r="E428" s="37"/>
      <c r="F428" s="37"/>
      <c r="G428" s="37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 ht="11.25" customHeight="1">
      <c r="A429" s="29"/>
      <c r="B429" s="37"/>
      <c r="C429" s="29"/>
      <c r="D429" s="29"/>
      <c r="E429" s="37"/>
      <c r="F429" s="37"/>
      <c r="G429" s="37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 ht="11.25" customHeight="1">
      <c r="A430" s="29"/>
      <c r="B430" s="37"/>
      <c r="C430" s="29"/>
      <c r="D430" s="29"/>
      <c r="E430" s="37"/>
      <c r="F430" s="37"/>
      <c r="G430" s="37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 ht="11.25" customHeight="1">
      <c r="A431" s="29"/>
      <c r="B431" s="37"/>
      <c r="C431" s="29"/>
      <c r="D431" s="29"/>
      <c r="E431" s="37"/>
      <c r="F431" s="37"/>
      <c r="G431" s="37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 ht="11.25" customHeight="1">
      <c r="A432" s="29"/>
      <c r="B432" s="37"/>
      <c r="C432" s="29"/>
      <c r="D432" s="29"/>
      <c r="E432" s="37"/>
      <c r="F432" s="37"/>
      <c r="G432" s="37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 ht="11.25" customHeight="1">
      <c r="A433" s="29"/>
      <c r="B433" s="37"/>
      <c r="C433" s="29"/>
      <c r="D433" s="29"/>
      <c r="E433" s="37"/>
      <c r="F433" s="37"/>
      <c r="G433" s="37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 ht="11.25" customHeight="1">
      <c r="A434" s="29"/>
      <c r="B434" s="37"/>
      <c r="C434" s="29"/>
      <c r="D434" s="29"/>
      <c r="E434" s="37"/>
      <c r="F434" s="37"/>
      <c r="G434" s="37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 ht="11.25" customHeight="1">
      <c r="A435" s="29"/>
      <c r="B435" s="37"/>
      <c r="C435" s="29"/>
      <c r="D435" s="29"/>
      <c r="E435" s="37"/>
      <c r="F435" s="37"/>
      <c r="G435" s="37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 ht="11.25" customHeight="1">
      <c r="A436" s="29"/>
      <c r="B436" s="37"/>
      <c r="C436" s="29"/>
      <c r="D436" s="29"/>
      <c r="E436" s="37"/>
      <c r="F436" s="37"/>
      <c r="G436" s="37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 ht="11.25" customHeight="1">
      <c r="A437" s="29"/>
      <c r="B437" s="37"/>
      <c r="C437" s="29"/>
      <c r="D437" s="29"/>
      <c r="E437" s="37"/>
      <c r="F437" s="37"/>
      <c r="G437" s="37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 ht="11.25" customHeight="1">
      <c r="A438" s="29"/>
      <c r="B438" s="37"/>
      <c r="C438" s="29"/>
      <c r="D438" s="29"/>
      <c r="E438" s="37"/>
      <c r="F438" s="37"/>
      <c r="G438" s="37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 ht="11.25" customHeight="1">
      <c r="A439" s="29"/>
      <c r="B439" s="37"/>
      <c r="C439" s="29"/>
      <c r="D439" s="29"/>
      <c r="E439" s="37"/>
      <c r="F439" s="37"/>
      <c r="G439" s="37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 ht="11.25" customHeight="1">
      <c r="A440" s="29"/>
      <c r="B440" s="37"/>
      <c r="C440" s="29"/>
      <c r="D440" s="29"/>
      <c r="E440" s="37"/>
      <c r="F440" s="37"/>
      <c r="G440" s="37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 ht="11.25" customHeight="1">
      <c r="A441" s="29"/>
      <c r="B441" s="37"/>
      <c r="C441" s="29"/>
      <c r="D441" s="29"/>
      <c r="E441" s="37"/>
      <c r="F441" s="37"/>
      <c r="G441" s="37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 ht="11.25" customHeight="1">
      <c r="A442" s="29"/>
      <c r="B442" s="37"/>
      <c r="C442" s="29"/>
      <c r="D442" s="29"/>
      <c r="E442" s="37"/>
      <c r="F442" s="37"/>
      <c r="G442" s="37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 ht="11.25" customHeight="1">
      <c r="A443" s="29"/>
      <c r="B443" s="37"/>
      <c r="C443" s="29"/>
      <c r="D443" s="29"/>
      <c r="E443" s="37"/>
      <c r="F443" s="37"/>
      <c r="G443" s="37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 ht="11.25" customHeight="1">
      <c r="A444" s="29"/>
      <c r="B444" s="37"/>
      <c r="C444" s="29"/>
      <c r="D444" s="29"/>
      <c r="E444" s="37"/>
      <c r="F444" s="37"/>
      <c r="G444" s="37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 ht="11.25" customHeight="1">
      <c r="A445" s="29"/>
      <c r="B445" s="37"/>
      <c r="C445" s="29"/>
      <c r="D445" s="29"/>
      <c r="E445" s="37"/>
      <c r="F445" s="37"/>
      <c r="G445" s="37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 ht="11.25" customHeight="1">
      <c r="A446" s="29"/>
      <c r="B446" s="37"/>
      <c r="C446" s="29"/>
      <c r="D446" s="29"/>
      <c r="E446" s="37"/>
      <c r="F446" s="37"/>
      <c r="G446" s="37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 ht="11.25" customHeight="1">
      <c r="A447" s="29"/>
      <c r="B447" s="37"/>
      <c r="C447" s="29"/>
      <c r="D447" s="29"/>
      <c r="E447" s="37"/>
      <c r="F447" s="37"/>
      <c r="G447" s="37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 ht="11.25" customHeight="1">
      <c r="A448" s="29"/>
      <c r="B448" s="37"/>
      <c r="C448" s="29"/>
      <c r="D448" s="29"/>
      <c r="E448" s="37"/>
      <c r="F448" s="37"/>
      <c r="G448" s="37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 ht="11.25" customHeight="1">
      <c r="A449" s="29"/>
      <c r="B449" s="37"/>
      <c r="C449" s="29"/>
      <c r="D449" s="29"/>
      <c r="E449" s="37"/>
      <c r="F449" s="37"/>
      <c r="G449" s="37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 ht="11.25" customHeight="1">
      <c r="A450" s="29"/>
      <c r="B450" s="37"/>
      <c r="C450" s="29"/>
      <c r="D450" s="29"/>
      <c r="E450" s="37"/>
      <c r="F450" s="37"/>
      <c r="G450" s="37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 ht="11.25" customHeight="1">
      <c r="A451" s="29"/>
      <c r="B451" s="37"/>
      <c r="C451" s="29"/>
      <c r="D451" s="29"/>
      <c r="E451" s="37"/>
      <c r="F451" s="37"/>
      <c r="G451" s="37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 ht="11.25" customHeight="1">
      <c r="A452" s="29"/>
      <c r="B452" s="37"/>
      <c r="C452" s="29"/>
      <c r="D452" s="29"/>
      <c r="E452" s="37"/>
      <c r="F452" s="37"/>
      <c r="G452" s="37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 ht="11.25" customHeight="1">
      <c r="A453" s="29"/>
      <c r="B453" s="37"/>
      <c r="C453" s="29"/>
      <c r="D453" s="29"/>
      <c r="E453" s="37"/>
      <c r="F453" s="37"/>
      <c r="G453" s="37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 ht="11.25" customHeight="1">
      <c r="A454" s="29"/>
      <c r="B454" s="37"/>
      <c r="C454" s="29"/>
      <c r="D454" s="29"/>
      <c r="E454" s="37"/>
      <c r="F454" s="37"/>
      <c r="G454" s="37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 ht="11.25" customHeight="1">
      <c r="A455" s="29"/>
      <c r="B455" s="37"/>
      <c r="C455" s="29"/>
      <c r="D455" s="29"/>
      <c r="E455" s="37"/>
      <c r="F455" s="37"/>
      <c r="G455" s="37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 ht="11.25" customHeight="1">
      <c r="A456" s="29"/>
      <c r="B456" s="37"/>
      <c r="C456" s="29"/>
      <c r="D456" s="29"/>
      <c r="E456" s="37"/>
      <c r="F456" s="37"/>
      <c r="G456" s="37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 ht="11.25" customHeight="1">
      <c r="A457" s="29"/>
      <c r="B457" s="37"/>
      <c r="C457" s="29"/>
      <c r="D457" s="29"/>
      <c r="E457" s="37"/>
      <c r="F457" s="37"/>
      <c r="G457" s="37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 ht="11.25" customHeight="1">
      <c r="A458" s="29"/>
      <c r="B458" s="37"/>
      <c r="C458" s="29"/>
      <c r="D458" s="29"/>
      <c r="E458" s="37"/>
      <c r="F458" s="37"/>
      <c r="G458" s="37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 ht="11.25" customHeight="1">
      <c r="A459" s="29"/>
      <c r="B459" s="37"/>
      <c r="C459" s="29"/>
      <c r="D459" s="29"/>
      <c r="E459" s="37"/>
      <c r="F459" s="37"/>
      <c r="G459" s="37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 ht="11.25" customHeight="1">
      <c r="A460" s="29"/>
      <c r="B460" s="37"/>
      <c r="C460" s="29"/>
      <c r="D460" s="29"/>
      <c r="E460" s="37"/>
      <c r="F460" s="37"/>
      <c r="G460" s="37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 ht="11.25" customHeight="1">
      <c r="A461" s="29"/>
      <c r="B461" s="37"/>
      <c r="C461" s="29"/>
      <c r="D461" s="29"/>
      <c r="E461" s="37"/>
      <c r="F461" s="37"/>
      <c r="G461" s="37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 ht="11.25" customHeight="1">
      <c r="A462" s="29"/>
      <c r="B462" s="37"/>
      <c r="C462" s="29"/>
      <c r="D462" s="29"/>
      <c r="E462" s="37"/>
      <c r="F462" s="37"/>
      <c r="G462" s="37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 ht="11.25" customHeight="1">
      <c r="A463" s="29"/>
      <c r="B463" s="37"/>
      <c r="C463" s="29"/>
      <c r="D463" s="29"/>
      <c r="E463" s="37"/>
      <c r="F463" s="37"/>
      <c r="G463" s="37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 ht="11.25" customHeight="1">
      <c r="A464" s="29"/>
      <c r="B464" s="37"/>
      <c r="C464" s="29"/>
      <c r="D464" s="29"/>
      <c r="E464" s="37"/>
      <c r="F464" s="37"/>
      <c r="G464" s="37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 ht="11.25" customHeight="1">
      <c r="A465" s="29"/>
      <c r="B465" s="37"/>
      <c r="C465" s="29"/>
      <c r="D465" s="29"/>
      <c r="E465" s="37"/>
      <c r="F465" s="37"/>
      <c r="G465" s="37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 ht="11.25" customHeight="1">
      <c r="A466" s="29"/>
      <c r="B466" s="37"/>
      <c r="C466" s="29"/>
      <c r="D466" s="29"/>
      <c r="E466" s="37"/>
      <c r="F466" s="37"/>
      <c r="G466" s="37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 ht="11.25" customHeight="1">
      <c r="A467" s="29"/>
      <c r="B467" s="37"/>
      <c r="C467" s="29"/>
      <c r="D467" s="29"/>
      <c r="E467" s="37"/>
      <c r="F467" s="37"/>
      <c r="G467" s="37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 ht="11.25" customHeight="1">
      <c r="A468" s="29"/>
      <c r="B468" s="37"/>
      <c r="C468" s="29"/>
      <c r="D468" s="29"/>
      <c r="E468" s="37"/>
      <c r="F468" s="37"/>
      <c r="G468" s="37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 ht="11.25" customHeight="1">
      <c r="A469" s="29"/>
      <c r="B469" s="37"/>
      <c r="C469" s="29"/>
      <c r="D469" s="29"/>
      <c r="E469" s="37"/>
      <c r="F469" s="37"/>
      <c r="G469" s="37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 ht="11.25" customHeight="1">
      <c r="A470" s="29"/>
      <c r="B470" s="37"/>
      <c r="C470" s="29"/>
      <c r="D470" s="29"/>
      <c r="E470" s="37"/>
      <c r="F470" s="37"/>
      <c r="G470" s="37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 ht="11.25" customHeight="1">
      <c r="A471" s="29"/>
      <c r="B471" s="37"/>
      <c r="C471" s="29"/>
      <c r="D471" s="29"/>
      <c r="E471" s="37"/>
      <c r="F471" s="37"/>
      <c r="G471" s="37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 ht="11.25" customHeight="1">
      <c r="A472" s="29"/>
      <c r="B472" s="37"/>
      <c r="C472" s="29"/>
      <c r="D472" s="29"/>
      <c r="E472" s="37"/>
      <c r="F472" s="37"/>
      <c r="G472" s="37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 ht="11.25" customHeight="1">
      <c r="A473" s="29"/>
      <c r="B473" s="37"/>
      <c r="C473" s="29"/>
      <c r="D473" s="29"/>
      <c r="E473" s="37"/>
      <c r="F473" s="37"/>
      <c r="G473" s="37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 ht="11.25" customHeight="1">
      <c r="A474" s="29"/>
      <c r="B474" s="37"/>
      <c r="C474" s="29"/>
      <c r="D474" s="29"/>
      <c r="E474" s="37"/>
      <c r="F474" s="37"/>
      <c r="G474" s="37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 ht="11.25" customHeight="1">
      <c r="A475" s="29"/>
      <c r="B475" s="37"/>
      <c r="C475" s="29"/>
      <c r="D475" s="29"/>
      <c r="E475" s="37"/>
      <c r="F475" s="37"/>
      <c r="G475" s="37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 ht="11.25" customHeight="1">
      <c r="A476" s="29"/>
      <c r="B476" s="37"/>
      <c r="C476" s="29"/>
      <c r="D476" s="29"/>
      <c r="E476" s="37"/>
      <c r="F476" s="37"/>
      <c r="G476" s="37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 ht="11.25" customHeight="1">
      <c r="A477" s="29"/>
      <c r="B477" s="37"/>
      <c r="C477" s="29"/>
      <c r="D477" s="29"/>
      <c r="E477" s="37"/>
      <c r="F477" s="37"/>
      <c r="G477" s="37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 ht="11.25" customHeight="1">
      <c r="A478" s="29"/>
      <c r="B478" s="37"/>
      <c r="C478" s="29"/>
      <c r="D478" s="29"/>
      <c r="E478" s="37"/>
      <c r="F478" s="37"/>
      <c r="G478" s="37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 ht="11.25" customHeight="1">
      <c r="A479" s="29"/>
      <c r="B479" s="37"/>
      <c r="C479" s="29"/>
      <c r="D479" s="29"/>
      <c r="E479" s="37"/>
      <c r="F479" s="37"/>
      <c r="G479" s="37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 ht="11.25" customHeight="1">
      <c r="A480" s="29"/>
      <c r="B480" s="37"/>
      <c r="C480" s="29"/>
      <c r="D480" s="29"/>
      <c r="E480" s="37"/>
      <c r="F480" s="37"/>
      <c r="G480" s="37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 ht="11.25" customHeight="1">
      <c r="A481" s="29"/>
      <c r="B481" s="37"/>
      <c r="C481" s="29"/>
      <c r="D481" s="29"/>
      <c r="E481" s="37"/>
      <c r="F481" s="37"/>
      <c r="G481" s="37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 ht="11.25" customHeight="1">
      <c r="A482" s="29"/>
      <c r="B482" s="37"/>
      <c r="C482" s="29"/>
      <c r="D482" s="29"/>
      <c r="E482" s="37"/>
      <c r="F482" s="37"/>
      <c r="G482" s="37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 ht="11.25" customHeight="1">
      <c r="A483" s="29"/>
      <c r="B483" s="37"/>
      <c r="C483" s="29"/>
      <c r="D483" s="29"/>
      <c r="E483" s="37"/>
      <c r="F483" s="37"/>
      <c r="G483" s="37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 ht="11.25" customHeight="1">
      <c r="A484" s="29"/>
      <c r="B484" s="37"/>
      <c r="C484" s="29"/>
      <c r="D484" s="29"/>
      <c r="E484" s="37"/>
      <c r="F484" s="37"/>
      <c r="G484" s="37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 ht="11.25" customHeight="1">
      <c r="A485" s="29"/>
      <c r="B485" s="37"/>
      <c r="C485" s="29"/>
      <c r="D485" s="29"/>
      <c r="E485" s="37"/>
      <c r="F485" s="37"/>
      <c r="G485" s="37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 ht="11.25" customHeight="1">
      <c r="A486" s="29"/>
      <c r="B486" s="37"/>
      <c r="C486" s="29"/>
      <c r="D486" s="29"/>
      <c r="E486" s="37"/>
      <c r="F486" s="37"/>
      <c r="G486" s="37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 ht="11.25" customHeight="1">
      <c r="A487" s="29"/>
      <c r="B487" s="37"/>
      <c r="C487" s="29"/>
      <c r="D487" s="29"/>
      <c r="E487" s="37"/>
      <c r="F487" s="37"/>
      <c r="G487" s="37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 ht="11.25" customHeight="1">
      <c r="A488" s="29"/>
      <c r="B488" s="37"/>
      <c r="C488" s="29"/>
      <c r="D488" s="29"/>
      <c r="E488" s="37"/>
      <c r="F488" s="37"/>
      <c r="G488" s="37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 ht="11.25" customHeight="1">
      <c r="A489" s="29"/>
      <c r="B489" s="37"/>
      <c r="C489" s="29"/>
      <c r="D489" s="29"/>
      <c r="E489" s="37"/>
      <c r="F489" s="37"/>
      <c r="G489" s="37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 ht="11.25" customHeight="1">
      <c r="A490" s="29"/>
      <c r="B490" s="37"/>
      <c r="C490" s="29"/>
      <c r="D490" s="29"/>
      <c r="E490" s="37"/>
      <c r="F490" s="37"/>
      <c r="G490" s="37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 ht="11.25" customHeight="1">
      <c r="A491" s="29"/>
      <c r="B491" s="37"/>
      <c r="C491" s="29"/>
      <c r="D491" s="29"/>
      <c r="E491" s="37"/>
      <c r="F491" s="37"/>
      <c r="G491" s="37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 ht="11.25" customHeight="1">
      <c r="A492" s="29"/>
      <c r="B492" s="37"/>
      <c r="C492" s="29"/>
      <c r="D492" s="29"/>
      <c r="E492" s="37"/>
      <c r="F492" s="37"/>
      <c r="G492" s="37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 ht="11.25" customHeight="1">
      <c r="A493" s="29"/>
      <c r="B493" s="37"/>
      <c r="C493" s="29"/>
      <c r="D493" s="29"/>
      <c r="E493" s="37"/>
      <c r="F493" s="37"/>
      <c r="G493" s="37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 ht="11.25" customHeight="1">
      <c r="A494" s="29"/>
      <c r="B494" s="37"/>
      <c r="C494" s="29"/>
      <c r="D494" s="29"/>
      <c r="E494" s="37"/>
      <c r="F494" s="37"/>
      <c r="G494" s="37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 ht="11.25" customHeight="1">
      <c r="A495" s="29"/>
      <c r="B495" s="37"/>
      <c r="C495" s="29"/>
      <c r="D495" s="29"/>
      <c r="E495" s="37"/>
      <c r="F495" s="37"/>
      <c r="G495" s="37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 ht="11.25" customHeight="1">
      <c r="A496" s="29"/>
      <c r="B496" s="37"/>
      <c r="C496" s="29"/>
      <c r="D496" s="29"/>
      <c r="E496" s="37"/>
      <c r="F496" s="37"/>
      <c r="G496" s="37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 ht="11.25" customHeight="1">
      <c r="A497" s="29"/>
      <c r="B497" s="37"/>
      <c r="C497" s="29"/>
      <c r="D497" s="29"/>
      <c r="E497" s="37"/>
      <c r="F497" s="37"/>
      <c r="G497" s="37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 ht="11.25" customHeight="1">
      <c r="A498" s="29"/>
      <c r="B498" s="37"/>
      <c r="C498" s="29"/>
      <c r="D498" s="29"/>
      <c r="E498" s="37"/>
      <c r="F498" s="37"/>
      <c r="G498" s="37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 ht="11.25" customHeight="1">
      <c r="A499" s="29"/>
      <c r="B499" s="37"/>
      <c r="C499" s="29"/>
      <c r="D499" s="29"/>
      <c r="E499" s="37"/>
      <c r="F499" s="37"/>
      <c r="G499" s="37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 ht="11.25" customHeight="1">
      <c r="A500" s="29"/>
      <c r="B500" s="37"/>
      <c r="C500" s="29"/>
      <c r="D500" s="29"/>
      <c r="E500" s="37"/>
      <c r="F500" s="37"/>
      <c r="G500" s="37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 ht="11.25" customHeight="1">
      <c r="A501" s="29"/>
      <c r="B501" s="37"/>
      <c r="C501" s="29"/>
      <c r="D501" s="29"/>
      <c r="E501" s="37"/>
      <c r="F501" s="37"/>
      <c r="G501" s="37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 ht="11.25" customHeight="1">
      <c r="A502" s="29"/>
      <c r="B502" s="37"/>
      <c r="C502" s="29"/>
      <c r="D502" s="29"/>
      <c r="E502" s="37"/>
      <c r="F502" s="37"/>
      <c r="G502" s="37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 ht="11.25" customHeight="1">
      <c r="A503" s="29"/>
      <c r="B503" s="37"/>
      <c r="C503" s="29"/>
      <c r="D503" s="29"/>
      <c r="E503" s="37"/>
      <c r="F503" s="37"/>
      <c r="G503" s="37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 ht="11.25" customHeight="1">
      <c r="A504" s="29"/>
      <c r="B504" s="37"/>
      <c r="C504" s="29"/>
      <c r="D504" s="29"/>
      <c r="E504" s="37"/>
      <c r="F504" s="37"/>
      <c r="G504" s="37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 ht="11.25" customHeight="1">
      <c r="A505" s="29"/>
      <c r="B505" s="37"/>
      <c r="C505" s="29"/>
      <c r="D505" s="29"/>
      <c r="E505" s="37"/>
      <c r="F505" s="37"/>
      <c r="G505" s="37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 ht="11.25" customHeight="1">
      <c r="A506" s="29"/>
      <c r="B506" s="37"/>
      <c r="C506" s="29"/>
      <c r="D506" s="29"/>
      <c r="E506" s="37"/>
      <c r="F506" s="37"/>
      <c r="G506" s="37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 ht="11.25" customHeight="1">
      <c r="A507" s="29"/>
      <c r="B507" s="37"/>
      <c r="C507" s="29"/>
      <c r="D507" s="29"/>
      <c r="E507" s="37"/>
      <c r="F507" s="37"/>
      <c r="G507" s="37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 ht="11.25" customHeight="1">
      <c r="A508" s="29"/>
      <c r="B508" s="37"/>
      <c r="C508" s="29"/>
      <c r="D508" s="29"/>
      <c r="E508" s="37"/>
      <c r="F508" s="37"/>
      <c r="G508" s="37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 ht="11.25" customHeight="1">
      <c r="A509" s="29"/>
      <c r="B509" s="37"/>
      <c r="C509" s="29"/>
      <c r="D509" s="29"/>
      <c r="E509" s="37"/>
      <c r="F509" s="37"/>
      <c r="G509" s="37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 ht="11.25" customHeight="1">
      <c r="A510" s="29"/>
      <c r="B510" s="37"/>
      <c r="C510" s="29"/>
      <c r="D510" s="29"/>
      <c r="E510" s="37"/>
      <c r="F510" s="37"/>
      <c r="G510" s="37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 ht="11.25" customHeight="1">
      <c r="A511" s="29"/>
      <c r="B511" s="37"/>
      <c r="C511" s="29"/>
      <c r="D511" s="29"/>
      <c r="E511" s="37"/>
      <c r="F511" s="37"/>
      <c r="G511" s="37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 ht="11.25" customHeight="1">
      <c r="A512" s="29"/>
      <c r="B512" s="37"/>
      <c r="C512" s="29"/>
      <c r="D512" s="29"/>
      <c r="E512" s="37"/>
      <c r="F512" s="37"/>
      <c r="G512" s="37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 ht="11.25" customHeight="1">
      <c r="A513" s="29"/>
      <c r="B513" s="37"/>
      <c r="C513" s="29"/>
      <c r="D513" s="29"/>
      <c r="E513" s="37"/>
      <c r="F513" s="37"/>
      <c r="G513" s="37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 ht="11.25" customHeight="1">
      <c r="A514" s="29"/>
      <c r="B514" s="37"/>
      <c r="C514" s="29"/>
      <c r="D514" s="29"/>
      <c r="E514" s="37"/>
      <c r="F514" s="37"/>
      <c r="G514" s="37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 ht="11.25" customHeight="1">
      <c r="A515" s="29"/>
      <c r="B515" s="37"/>
      <c r="C515" s="29"/>
      <c r="D515" s="29"/>
      <c r="E515" s="37"/>
      <c r="F515" s="37"/>
      <c r="G515" s="37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 ht="11.25" customHeight="1">
      <c r="A516" s="29"/>
      <c r="B516" s="37"/>
      <c r="C516" s="29"/>
      <c r="D516" s="29"/>
      <c r="E516" s="37"/>
      <c r="F516" s="37"/>
      <c r="G516" s="37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 ht="11.25" customHeight="1">
      <c r="A517" s="29"/>
      <c r="B517" s="37"/>
      <c r="C517" s="29"/>
      <c r="D517" s="29"/>
      <c r="E517" s="37"/>
      <c r="F517" s="37"/>
      <c r="G517" s="37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 ht="11.25" customHeight="1">
      <c r="A518" s="29"/>
      <c r="B518" s="37"/>
      <c r="C518" s="29"/>
      <c r="D518" s="29"/>
      <c r="E518" s="37"/>
      <c r="F518" s="37"/>
      <c r="G518" s="37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 ht="11.25" customHeight="1">
      <c r="A519" s="29"/>
      <c r="B519" s="37"/>
      <c r="C519" s="29"/>
      <c r="D519" s="29"/>
      <c r="E519" s="37"/>
      <c r="F519" s="37"/>
      <c r="G519" s="37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 ht="11.25" customHeight="1">
      <c r="A520" s="29"/>
      <c r="B520" s="37"/>
      <c r="C520" s="29"/>
      <c r="D520" s="29"/>
      <c r="E520" s="37"/>
      <c r="F520" s="37"/>
      <c r="G520" s="37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 ht="11.25" customHeight="1">
      <c r="A521" s="29"/>
      <c r="B521" s="37"/>
      <c r="C521" s="29"/>
      <c r="D521" s="29"/>
      <c r="E521" s="37"/>
      <c r="F521" s="37"/>
      <c r="G521" s="37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 ht="11.25" customHeight="1">
      <c r="A522" s="29"/>
      <c r="B522" s="37"/>
      <c r="C522" s="29"/>
      <c r="D522" s="29"/>
      <c r="E522" s="37"/>
      <c r="F522" s="37"/>
      <c r="G522" s="37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 ht="11.25" customHeight="1">
      <c r="A523" s="29"/>
      <c r="B523" s="37"/>
      <c r="C523" s="29"/>
      <c r="D523" s="29"/>
      <c r="E523" s="37"/>
      <c r="F523" s="37"/>
      <c r="G523" s="37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 ht="11.25" customHeight="1">
      <c r="A524" s="29"/>
      <c r="B524" s="37"/>
      <c r="C524" s="29"/>
      <c r="D524" s="29"/>
      <c r="E524" s="37"/>
      <c r="F524" s="37"/>
      <c r="G524" s="37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 ht="11.25" customHeight="1">
      <c r="A525" s="29"/>
      <c r="B525" s="37"/>
      <c r="C525" s="29"/>
      <c r="D525" s="29"/>
      <c r="E525" s="37"/>
      <c r="F525" s="37"/>
      <c r="G525" s="37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 ht="11.25" customHeight="1">
      <c r="A526" s="29"/>
      <c r="B526" s="37"/>
      <c r="C526" s="29"/>
      <c r="D526" s="29"/>
      <c r="E526" s="37"/>
      <c r="F526" s="37"/>
      <c r="G526" s="37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 ht="11.25" customHeight="1">
      <c r="A527" s="29"/>
      <c r="B527" s="37"/>
      <c r="C527" s="29"/>
      <c r="D527" s="29"/>
      <c r="E527" s="37"/>
      <c r="F527" s="37"/>
      <c r="G527" s="37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 ht="11.25" customHeight="1">
      <c r="A528" s="29"/>
      <c r="B528" s="37"/>
      <c r="C528" s="29"/>
      <c r="D528" s="29"/>
      <c r="E528" s="37"/>
      <c r="F528" s="37"/>
      <c r="G528" s="37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 ht="11.25" customHeight="1">
      <c r="A529" s="29"/>
      <c r="B529" s="37"/>
      <c r="C529" s="29"/>
      <c r="D529" s="29"/>
      <c r="E529" s="37"/>
      <c r="F529" s="37"/>
      <c r="G529" s="37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 ht="11.25" customHeight="1">
      <c r="A530" s="29"/>
      <c r="B530" s="37"/>
      <c r="C530" s="29"/>
      <c r="D530" s="29"/>
      <c r="E530" s="37"/>
      <c r="F530" s="37"/>
      <c r="G530" s="37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 ht="11.25" customHeight="1">
      <c r="A531" s="29"/>
      <c r="B531" s="37"/>
      <c r="C531" s="29"/>
      <c r="D531" s="29"/>
      <c r="E531" s="37"/>
      <c r="F531" s="37"/>
      <c r="G531" s="37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 ht="11.25" customHeight="1">
      <c r="A532" s="29"/>
      <c r="B532" s="37"/>
      <c r="C532" s="29"/>
      <c r="D532" s="29"/>
      <c r="E532" s="37"/>
      <c r="F532" s="37"/>
      <c r="G532" s="37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 ht="11.25" customHeight="1">
      <c r="A533" s="29"/>
      <c r="B533" s="37"/>
      <c r="C533" s="29"/>
      <c r="D533" s="29"/>
      <c r="E533" s="37"/>
      <c r="F533" s="37"/>
      <c r="G533" s="37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 ht="11.25" customHeight="1">
      <c r="A534" s="29"/>
      <c r="B534" s="37"/>
      <c r="C534" s="29"/>
      <c r="D534" s="29"/>
      <c r="E534" s="37"/>
      <c r="F534" s="37"/>
      <c r="G534" s="37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 ht="11.25" customHeight="1">
      <c r="A535" s="29"/>
      <c r="B535" s="37"/>
      <c r="C535" s="29"/>
      <c r="D535" s="29"/>
      <c r="E535" s="37"/>
      <c r="F535" s="37"/>
      <c r="G535" s="37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 ht="11.25" customHeight="1">
      <c r="A536" s="29"/>
      <c r="B536" s="37"/>
      <c r="C536" s="29"/>
      <c r="D536" s="29"/>
      <c r="E536" s="37"/>
      <c r="F536" s="37"/>
      <c r="G536" s="37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 ht="11.25" customHeight="1">
      <c r="A537" s="29"/>
      <c r="B537" s="37"/>
      <c r="C537" s="29"/>
      <c r="D537" s="29"/>
      <c r="E537" s="37"/>
      <c r="F537" s="37"/>
      <c r="G537" s="37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 ht="11.25" customHeight="1">
      <c r="A538" s="29"/>
      <c r="B538" s="37"/>
      <c r="C538" s="29"/>
      <c r="D538" s="29"/>
      <c r="E538" s="37"/>
      <c r="F538" s="37"/>
      <c r="G538" s="37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 ht="11.25" customHeight="1">
      <c r="A539" s="29"/>
      <c r="B539" s="37"/>
      <c r="C539" s="29"/>
      <c r="D539" s="29"/>
      <c r="E539" s="37"/>
      <c r="F539" s="37"/>
      <c r="G539" s="37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 ht="11.25" customHeight="1">
      <c r="A540" s="29"/>
      <c r="B540" s="37"/>
      <c r="C540" s="29"/>
      <c r="D540" s="29"/>
      <c r="E540" s="37"/>
      <c r="F540" s="37"/>
      <c r="G540" s="37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 ht="11.25" customHeight="1">
      <c r="A541" s="29"/>
      <c r="B541" s="37"/>
      <c r="C541" s="29"/>
      <c r="D541" s="29"/>
      <c r="E541" s="37"/>
      <c r="F541" s="37"/>
      <c r="G541" s="37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 ht="11.25" customHeight="1">
      <c r="A542" s="29"/>
      <c r="B542" s="37"/>
      <c r="C542" s="29"/>
      <c r="D542" s="29"/>
      <c r="E542" s="37"/>
      <c r="F542" s="37"/>
      <c r="G542" s="37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 ht="11.25" customHeight="1">
      <c r="A543" s="29"/>
      <c r="B543" s="37"/>
      <c r="C543" s="29"/>
      <c r="D543" s="29"/>
      <c r="E543" s="37"/>
      <c r="F543" s="37"/>
      <c r="G543" s="37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 ht="11.25" customHeight="1">
      <c r="A544" s="29"/>
      <c r="B544" s="37"/>
      <c r="C544" s="29"/>
      <c r="D544" s="29"/>
      <c r="E544" s="37"/>
      <c r="F544" s="37"/>
      <c r="G544" s="37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 ht="11.25" customHeight="1">
      <c r="A545" s="29"/>
      <c r="B545" s="37"/>
      <c r="C545" s="29"/>
      <c r="D545" s="29"/>
      <c r="E545" s="37"/>
      <c r="F545" s="37"/>
      <c r="G545" s="37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 ht="11.25" customHeight="1">
      <c r="A546" s="29"/>
      <c r="B546" s="37"/>
      <c r="C546" s="29"/>
      <c r="D546" s="29"/>
      <c r="E546" s="37"/>
      <c r="F546" s="37"/>
      <c r="G546" s="37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 ht="11.25" customHeight="1">
      <c r="A547" s="29"/>
      <c r="B547" s="37"/>
      <c r="C547" s="29"/>
      <c r="D547" s="29"/>
      <c r="E547" s="37"/>
      <c r="F547" s="37"/>
      <c r="G547" s="37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 ht="11.25" customHeight="1">
      <c r="A548" s="29"/>
      <c r="B548" s="37"/>
      <c r="C548" s="29"/>
      <c r="D548" s="29"/>
      <c r="E548" s="37"/>
      <c r="F548" s="37"/>
      <c r="G548" s="37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 ht="11.25" customHeight="1">
      <c r="A549" s="29"/>
      <c r="B549" s="37"/>
      <c r="C549" s="29"/>
      <c r="D549" s="29"/>
      <c r="E549" s="37"/>
      <c r="F549" s="37"/>
      <c r="G549" s="37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 ht="11.25" customHeight="1">
      <c r="A550" s="29"/>
      <c r="B550" s="37"/>
      <c r="C550" s="29"/>
      <c r="D550" s="29"/>
      <c r="E550" s="37"/>
      <c r="F550" s="37"/>
      <c r="G550" s="37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 ht="11.25" customHeight="1">
      <c r="A551" s="29"/>
      <c r="B551" s="37"/>
      <c r="C551" s="29"/>
      <c r="D551" s="29"/>
      <c r="E551" s="37"/>
      <c r="F551" s="37"/>
      <c r="G551" s="37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 ht="11.25" customHeight="1">
      <c r="A552" s="29"/>
      <c r="B552" s="37"/>
      <c r="C552" s="29"/>
      <c r="D552" s="29"/>
      <c r="E552" s="37"/>
      <c r="F552" s="37"/>
      <c r="G552" s="37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 ht="11.25" customHeight="1">
      <c r="A553" s="29"/>
      <c r="B553" s="37"/>
      <c r="C553" s="29"/>
      <c r="D553" s="29"/>
      <c r="E553" s="37"/>
      <c r="F553" s="37"/>
      <c r="G553" s="37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 ht="11.25" customHeight="1">
      <c r="A554" s="29"/>
      <c r="B554" s="37"/>
      <c r="C554" s="29"/>
      <c r="D554" s="29"/>
      <c r="E554" s="37"/>
      <c r="F554" s="37"/>
      <c r="G554" s="37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 ht="11.25" customHeight="1">
      <c r="A555" s="29"/>
      <c r="B555" s="37"/>
      <c r="C555" s="29"/>
      <c r="D555" s="29"/>
      <c r="E555" s="37"/>
      <c r="F555" s="37"/>
      <c r="G555" s="37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 ht="11.25" customHeight="1">
      <c r="A556" s="29"/>
      <c r="B556" s="37"/>
      <c r="C556" s="29"/>
      <c r="D556" s="29"/>
      <c r="E556" s="37"/>
      <c r="F556" s="37"/>
      <c r="G556" s="37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 ht="11.25" customHeight="1">
      <c r="A557" s="29"/>
      <c r="B557" s="37"/>
      <c r="C557" s="29"/>
      <c r="D557" s="29"/>
      <c r="E557" s="37"/>
      <c r="F557" s="37"/>
      <c r="G557" s="37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 ht="11.25" customHeight="1">
      <c r="A558" s="29"/>
      <c r="B558" s="37"/>
      <c r="C558" s="29"/>
      <c r="D558" s="29"/>
      <c r="E558" s="37"/>
      <c r="F558" s="37"/>
      <c r="G558" s="37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 ht="11.25" customHeight="1">
      <c r="A559" s="29"/>
      <c r="B559" s="37"/>
      <c r="C559" s="29"/>
      <c r="D559" s="29"/>
      <c r="E559" s="37"/>
      <c r="F559" s="37"/>
      <c r="G559" s="37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 ht="11.25" customHeight="1">
      <c r="A560" s="29"/>
      <c r="B560" s="37"/>
      <c r="C560" s="29"/>
      <c r="D560" s="29"/>
      <c r="E560" s="37"/>
      <c r="F560" s="37"/>
      <c r="G560" s="37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 ht="11.25" customHeight="1">
      <c r="A561" s="29"/>
      <c r="B561" s="37"/>
      <c r="C561" s="29"/>
      <c r="D561" s="29"/>
      <c r="E561" s="37"/>
      <c r="F561" s="37"/>
      <c r="G561" s="37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 ht="11.25" customHeight="1">
      <c r="A562" s="29"/>
      <c r="B562" s="37"/>
      <c r="C562" s="29"/>
      <c r="D562" s="29"/>
      <c r="E562" s="37"/>
      <c r="F562" s="37"/>
      <c r="G562" s="37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 ht="11.25" customHeight="1">
      <c r="A563" s="29"/>
      <c r="B563" s="37"/>
      <c r="C563" s="29"/>
      <c r="D563" s="29"/>
      <c r="E563" s="37"/>
      <c r="F563" s="37"/>
      <c r="G563" s="37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 ht="11.25" customHeight="1">
      <c r="A564" s="29"/>
      <c r="B564" s="37"/>
      <c r="C564" s="29"/>
      <c r="D564" s="29"/>
      <c r="E564" s="37"/>
      <c r="F564" s="37"/>
      <c r="G564" s="37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 ht="11.25" customHeight="1">
      <c r="A565" s="29"/>
      <c r="B565" s="37"/>
      <c r="C565" s="29"/>
      <c r="D565" s="29"/>
      <c r="E565" s="37"/>
      <c r="F565" s="37"/>
      <c r="G565" s="37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 ht="11.25" customHeight="1">
      <c r="A566" s="29"/>
      <c r="B566" s="37"/>
      <c r="C566" s="29"/>
      <c r="D566" s="29"/>
      <c r="E566" s="37"/>
      <c r="F566" s="37"/>
      <c r="G566" s="37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 ht="11.25" customHeight="1">
      <c r="A567" s="29"/>
      <c r="B567" s="37"/>
      <c r="C567" s="29"/>
      <c r="D567" s="29"/>
      <c r="E567" s="37"/>
      <c r="F567" s="37"/>
      <c r="G567" s="37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 ht="11.25" customHeight="1">
      <c r="A568" s="29"/>
      <c r="B568" s="37"/>
      <c r="C568" s="29"/>
      <c r="D568" s="29"/>
      <c r="E568" s="37"/>
      <c r="F568" s="37"/>
      <c r="G568" s="37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 ht="11.25" customHeight="1">
      <c r="A569" s="29"/>
      <c r="B569" s="37"/>
      <c r="C569" s="29"/>
      <c r="D569" s="29"/>
      <c r="E569" s="37"/>
      <c r="F569" s="37"/>
      <c r="G569" s="37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 ht="11.25" customHeight="1">
      <c r="A570" s="29"/>
      <c r="B570" s="37"/>
      <c r="C570" s="29"/>
      <c r="D570" s="29"/>
      <c r="E570" s="37"/>
      <c r="F570" s="37"/>
      <c r="G570" s="37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 ht="11.25" customHeight="1">
      <c r="A571" s="29"/>
      <c r="B571" s="37"/>
      <c r="C571" s="29"/>
      <c r="D571" s="29"/>
      <c r="E571" s="37"/>
      <c r="F571" s="37"/>
      <c r="G571" s="37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 ht="11.25" customHeight="1">
      <c r="A572" s="29"/>
      <c r="B572" s="37"/>
      <c r="C572" s="29"/>
      <c r="D572" s="29"/>
      <c r="E572" s="37"/>
      <c r="F572" s="37"/>
      <c r="G572" s="37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 ht="11.25" customHeight="1">
      <c r="A573" s="29"/>
      <c r="B573" s="37"/>
      <c r="C573" s="29"/>
      <c r="D573" s="29"/>
      <c r="E573" s="37"/>
      <c r="F573" s="37"/>
      <c r="G573" s="37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 ht="11.25" customHeight="1">
      <c r="A574" s="29"/>
      <c r="B574" s="37"/>
      <c r="C574" s="29"/>
      <c r="D574" s="29"/>
      <c r="E574" s="37"/>
      <c r="F574" s="37"/>
      <c r="G574" s="37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 ht="11.25" customHeight="1">
      <c r="A575" s="29"/>
      <c r="B575" s="37"/>
      <c r="C575" s="29"/>
      <c r="D575" s="29"/>
      <c r="E575" s="37"/>
      <c r="F575" s="37"/>
      <c r="G575" s="37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 ht="11.25" customHeight="1">
      <c r="A576" s="29"/>
      <c r="B576" s="37"/>
      <c r="C576" s="29"/>
      <c r="D576" s="29"/>
      <c r="E576" s="37"/>
      <c r="F576" s="37"/>
      <c r="G576" s="37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 ht="11.25" customHeight="1">
      <c r="A577" s="29"/>
      <c r="B577" s="37"/>
      <c r="C577" s="29"/>
      <c r="D577" s="29"/>
      <c r="E577" s="37"/>
      <c r="F577" s="37"/>
      <c r="G577" s="37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 ht="11.25" customHeight="1">
      <c r="A578" s="29"/>
      <c r="B578" s="37"/>
      <c r="C578" s="29"/>
      <c r="D578" s="29"/>
      <c r="E578" s="37"/>
      <c r="F578" s="37"/>
      <c r="G578" s="37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 ht="11.25" customHeight="1">
      <c r="A579" s="29"/>
      <c r="B579" s="37"/>
      <c r="C579" s="29"/>
      <c r="D579" s="29"/>
      <c r="E579" s="37"/>
      <c r="F579" s="37"/>
      <c r="G579" s="37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 ht="11.25" customHeight="1">
      <c r="A580" s="29"/>
      <c r="B580" s="37"/>
      <c r="C580" s="29"/>
      <c r="D580" s="29"/>
      <c r="E580" s="37"/>
      <c r="F580" s="37"/>
      <c r="G580" s="37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 ht="11.25" customHeight="1">
      <c r="A581" s="29"/>
      <c r="B581" s="37"/>
      <c r="C581" s="29"/>
      <c r="D581" s="29"/>
      <c r="E581" s="37"/>
      <c r="F581" s="37"/>
      <c r="G581" s="37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 ht="11.25" customHeight="1">
      <c r="A582" s="29"/>
      <c r="B582" s="37"/>
      <c r="C582" s="29"/>
      <c r="D582" s="29"/>
      <c r="E582" s="37"/>
      <c r="F582" s="37"/>
      <c r="G582" s="37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 ht="11.25" customHeight="1">
      <c r="A583" s="29"/>
      <c r="B583" s="37"/>
      <c r="C583" s="29"/>
      <c r="D583" s="29"/>
      <c r="E583" s="37"/>
      <c r="F583" s="37"/>
      <c r="G583" s="37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 ht="11.25" customHeight="1">
      <c r="A584" s="29"/>
      <c r="B584" s="37"/>
      <c r="C584" s="29"/>
      <c r="D584" s="29"/>
      <c r="E584" s="37"/>
      <c r="F584" s="37"/>
      <c r="G584" s="37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 ht="11.25" customHeight="1">
      <c r="A585" s="29"/>
      <c r="B585" s="37"/>
      <c r="C585" s="29"/>
      <c r="D585" s="29"/>
      <c r="E585" s="37"/>
      <c r="F585" s="37"/>
      <c r="G585" s="37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 ht="11.25" customHeight="1">
      <c r="A586" s="29"/>
      <c r="B586" s="37"/>
      <c r="C586" s="29"/>
      <c r="D586" s="29"/>
      <c r="E586" s="37"/>
      <c r="F586" s="37"/>
      <c r="G586" s="37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 ht="11.25" customHeight="1">
      <c r="A587" s="29"/>
      <c r="B587" s="37"/>
      <c r="C587" s="29"/>
      <c r="D587" s="29"/>
      <c r="E587" s="37"/>
      <c r="F587" s="37"/>
      <c r="G587" s="37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 ht="11.25" customHeight="1">
      <c r="A588" s="29"/>
      <c r="B588" s="37"/>
      <c r="C588" s="29"/>
      <c r="D588" s="29"/>
      <c r="E588" s="37"/>
      <c r="F588" s="37"/>
      <c r="G588" s="37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 ht="11.25" customHeight="1">
      <c r="A589" s="29"/>
      <c r="B589" s="37"/>
      <c r="C589" s="29"/>
      <c r="D589" s="29"/>
      <c r="E589" s="37"/>
      <c r="F589" s="37"/>
      <c r="G589" s="37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 ht="11.25" customHeight="1">
      <c r="A590" s="29"/>
      <c r="B590" s="37"/>
      <c r="C590" s="29"/>
      <c r="D590" s="29"/>
      <c r="E590" s="37"/>
      <c r="F590" s="37"/>
      <c r="G590" s="37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 ht="11.25" customHeight="1">
      <c r="A591" s="29"/>
      <c r="B591" s="37"/>
      <c r="C591" s="29"/>
      <c r="D591" s="29"/>
      <c r="E591" s="37"/>
      <c r="F591" s="37"/>
      <c r="G591" s="37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 ht="11.25" customHeight="1">
      <c r="A592" s="29"/>
      <c r="B592" s="37"/>
      <c r="C592" s="29"/>
      <c r="D592" s="29"/>
      <c r="E592" s="37"/>
      <c r="F592" s="37"/>
      <c r="G592" s="37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 ht="11.25" customHeight="1">
      <c r="A593" s="29"/>
      <c r="B593" s="37"/>
      <c r="C593" s="29"/>
      <c r="D593" s="29"/>
      <c r="E593" s="37"/>
      <c r="F593" s="37"/>
      <c r="G593" s="37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 ht="11.25" customHeight="1">
      <c r="A594" s="29"/>
      <c r="B594" s="37"/>
      <c r="C594" s="29"/>
      <c r="D594" s="29"/>
      <c r="E594" s="37"/>
      <c r="F594" s="37"/>
      <c r="G594" s="37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 ht="11.25" customHeight="1">
      <c r="A595" s="29"/>
      <c r="B595" s="37"/>
      <c r="C595" s="29"/>
      <c r="D595" s="29"/>
      <c r="E595" s="37"/>
      <c r="F595" s="37"/>
      <c r="G595" s="37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 ht="11.25" customHeight="1">
      <c r="A596" s="29"/>
      <c r="B596" s="37"/>
      <c r="C596" s="29"/>
      <c r="D596" s="29"/>
      <c r="E596" s="37"/>
      <c r="F596" s="37"/>
      <c r="G596" s="37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 ht="11.25" customHeight="1">
      <c r="A597" s="29"/>
      <c r="B597" s="37"/>
      <c r="C597" s="29"/>
      <c r="D597" s="29"/>
      <c r="E597" s="37"/>
      <c r="F597" s="37"/>
      <c r="G597" s="37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 ht="11.25" customHeight="1">
      <c r="A598" s="29"/>
      <c r="B598" s="37"/>
      <c r="C598" s="29"/>
      <c r="D598" s="29"/>
      <c r="E598" s="37"/>
      <c r="F598" s="37"/>
      <c r="G598" s="37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 ht="11.25" customHeight="1">
      <c r="A599" s="29"/>
      <c r="B599" s="37"/>
      <c r="C599" s="29"/>
      <c r="D599" s="29"/>
      <c r="E599" s="37"/>
      <c r="F599" s="37"/>
      <c r="G599" s="37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 ht="11.25" customHeight="1">
      <c r="A600" s="29"/>
      <c r="B600" s="37"/>
      <c r="C600" s="29"/>
      <c r="D600" s="29"/>
      <c r="E600" s="37"/>
      <c r="F600" s="37"/>
      <c r="G600" s="37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 ht="11.25" customHeight="1">
      <c r="A601" s="29"/>
      <c r="B601" s="37"/>
      <c r="C601" s="29"/>
      <c r="D601" s="29"/>
      <c r="E601" s="37"/>
      <c r="F601" s="37"/>
      <c r="G601" s="37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 ht="11.25" customHeight="1">
      <c r="A602" s="29"/>
      <c r="B602" s="37"/>
      <c r="C602" s="29"/>
      <c r="D602" s="29"/>
      <c r="E602" s="37"/>
      <c r="F602" s="37"/>
      <c r="G602" s="37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 ht="11.25" customHeight="1">
      <c r="A603" s="29"/>
      <c r="B603" s="37"/>
      <c r="C603" s="29"/>
      <c r="D603" s="29"/>
      <c r="E603" s="37"/>
      <c r="F603" s="37"/>
      <c r="G603" s="37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 ht="11.25" customHeight="1">
      <c r="A604" s="29"/>
      <c r="B604" s="37"/>
      <c r="C604" s="29"/>
      <c r="D604" s="29"/>
      <c r="E604" s="37"/>
      <c r="F604" s="37"/>
      <c r="G604" s="37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 ht="11.25" customHeight="1">
      <c r="A605" s="29"/>
      <c r="B605" s="37"/>
      <c r="C605" s="29"/>
      <c r="D605" s="29"/>
      <c r="E605" s="37"/>
      <c r="F605" s="37"/>
      <c r="G605" s="37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 ht="11.25" customHeight="1">
      <c r="A606" s="29"/>
      <c r="B606" s="37"/>
      <c r="C606" s="29"/>
      <c r="D606" s="29"/>
      <c r="E606" s="37"/>
      <c r="F606" s="37"/>
      <c r="G606" s="37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 ht="11.25" customHeight="1">
      <c r="A607" s="29"/>
      <c r="B607" s="37"/>
      <c r="C607" s="29"/>
      <c r="D607" s="29"/>
      <c r="E607" s="37"/>
      <c r="F607" s="37"/>
      <c r="G607" s="37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 ht="11.25" customHeight="1">
      <c r="A608" s="29"/>
      <c r="B608" s="37"/>
      <c r="C608" s="29"/>
      <c r="D608" s="29"/>
      <c r="E608" s="37"/>
      <c r="F608" s="37"/>
      <c r="G608" s="37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 ht="11.25" customHeight="1">
      <c r="A609" s="29"/>
      <c r="B609" s="37"/>
      <c r="C609" s="29"/>
      <c r="D609" s="29"/>
      <c r="E609" s="37"/>
      <c r="F609" s="37"/>
      <c r="G609" s="37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 ht="11.25" customHeight="1">
      <c r="A610" s="29"/>
      <c r="B610" s="37"/>
      <c r="C610" s="29"/>
      <c r="D610" s="29"/>
      <c r="E610" s="37"/>
      <c r="F610" s="37"/>
      <c r="G610" s="37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 ht="11.25" customHeight="1">
      <c r="A611" s="29"/>
      <c r="B611" s="37"/>
      <c r="C611" s="29"/>
      <c r="D611" s="29"/>
      <c r="E611" s="37"/>
      <c r="F611" s="37"/>
      <c r="G611" s="37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 ht="11.25" customHeight="1">
      <c r="A612" s="29"/>
      <c r="B612" s="37"/>
      <c r="C612" s="29"/>
      <c r="D612" s="29"/>
      <c r="E612" s="37"/>
      <c r="F612" s="37"/>
      <c r="G612" s="37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 ht="11.25" customHeight="1">
      <c r="A613" s="29"/>
      <c r="B613" s="37"/>
      <c r="C613" s="29"/>
      <c r="D613" s="29"/>
      <c r="E613" s="37"/>
      <c r="F613" s="37"/>
      <c r="G613" s="37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 ht="11.25" customHeight="1">
      <c r="A614" s="29"/>
      <c r="B614" s="37"/>
      <c r="C614" s="29"/>
      <c r="D614" s="29"/>
      <c r="E614" s="37"/>
      <c r="F614" s="37"/>
      <c r="G614" s="37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 ht="11.25" customHeight="1">
      <c r="A615" s="29"/>
      <c r="B615" s="37"/>
      <c r="C615" s="29"/>
      <c r="D615" s="29"/>
      <c r="E615" s="37"/>
      <c r="F615" s="37"/>
      <c r="G615" s="37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 ht="11.25" customHeight="1">
      <c r="A616" s="29"/>
      <c r="B616" s="37"/>
      <c r="C616" s="29"/>
      <c r="D616" s="29"/>
      <c r="E616" s="37"/>
      <c r="F616" s="37"/>
      <c r="G616" s="37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 ht="11.25" customHeight="1">
      <c r="A617" s="29"/>
      <c r="B617" s="37"/>
      <c r="C617" s="29"/>
      <c r="D617" s="29"/>
      <c r="E617" s="37"/>
      <c r="F617" s="37"/>
      <c r="G617" s="37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 ht="11.25" customHeight="1">
      <c r="A618" s="29"/>
      <c r="B618" s="37"/>
      <c r="C618" s="29"/>
      <c r="D618" s="29"/>
      <c r="E618" s="37"/>
      <c r="F618" s="37"/>
      <c r="G618" s="37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 ht="11.25" customHeight="1">
      <c r="A619" s="29"/>
      <c r="B619" s="37"/>
      <c r="C619" s="29"/>
      <c r="D619" s="29"/>
      <c r="E619" s="37"/>
      <c r="F619" s="37"/>
      <c r="G619" s="37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 ht="11.25" customHeight="1">
      <c r="A620" s="29"/>
      <c r="B620" s="37"/>
      <c r="C620" s="29"/>
      <c r="D620" s="29"/>
      <c r="E620" s="37"/>
      <c r="F620" s="37"/>
      <c r="G620" s="37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 ht="11.25" customHeight="1">
      <c r="A621" s="29"/>
      <c r="B621" s="37"/>
      <c r="C621" s="29"/>
      <c r="D621" s="29"/>
      <c r="E621" s="37"/>
      <c r="F621" s="37"/>
      <c r="G621" s="37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 ht="11.25" customHeight="1">
      <c r="A622" s="29"/>
      <c r="B622" s="37"/>
      <c r="C622" s="29"/>
      <c r="D622" s="29"/>
      <c r="E622" s="37"/>
      <c r="F622" s="37"/>
      <c r="G622" s="37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 ht="11.25" customHeight="1">
      <c r="A623" s="29"/>
      <c r="B623" s="37"/>
      <c r="C623" s="29"/>
      <c r="D623" s="29"/>
      <c r="E623" s="37"/>
      <c r="F623" s="37"/>
      <c r="G623" s="37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 ht="11.25" customHeight="1">
      <c r="A624" s="29"/>
      <c r="B624" s="37"/>
      <c r="C624" s="29"/>
      <c r="D624" s="29"/>
      <c r="E624" s="37"/>
      <c r="F624" s="37"/>
      <c r="G624" s="37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 ht="11.25" customHeight="1">
      <c r="A625" s="29"/>
      <c r="B625" s="37"/>
      <c r="C625" s="29"/>
      <c r="D625" s="29"/>
      <c r="E625" s="37"/>
      <c r="F625" s="37"/>
      <c r="G625" s="37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 ht="11.25" customHeight="1">
      <c r="A626" s="29"/>
      <c r="B626" s="37"/>
      <c r="C626" s="29"/>
      <c r="D626" s="29"/>
      <c r="E626" s="37"/>
      <c r="F626" s="37"/>
      <c r="G626" s="37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 ht="11.25" customHeight="1">
      <c r="A627" s="29"/>
      <c r="B627" s="37"/>
      <c r="C627" s="29"/>
      <c r="D627" s="29"/>
      <c r="E627" s="37"/>
      <c r="F627" s="37"/>
      <c r="G627" s="37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 ht="11.25" customHeight="1">
      <c r="A628" s="29"/>
      <c r="B628" s="37"/>
      <c r="C628" s="29"/>
      <c r="D628" s="29"/>
      <c r="E628" s="37"/>
      <c r="F628" s="37"/>
      <c r="G628" s="37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 ht="11.25" customHeight="1">
      <c r="A629" s="29"/>
      <c r="B629" s="37"/>
      <c r="C629" s="29"/>
      <c r="D629" s="29"/>
      <c r="E629" s="37"/>
      <c r="F629" s="37"/>
      <c r="G629" s="37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 ht="11.25" customHeight="1">
      <c r="A630" s="29"/>
      <c r="B630" s="37"/>
      <c r="C630" s="29"/>
      <c r="D630" s="29"/>
      <c r="E630" s="37"/>
      <c r="F630" s="37"/>
      <c r="G630" s="37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 ht="11.25" customHeight="1">
      <c r="A631" s="29"/>
      <c r="B631" s="37"/>
      <c r="C631" s="29"/>
      <c r="D631" s="29"/>
      <c r="E631" s="37"/>
      <c r="F631" s="37"/>
      <c r="G631" s="37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 ht="11.25" customHeight="1">
      <c r="A632" s="29"/>
      <c r="B632" s="37"/>
      <c r="C632" s="29"/>
      <c r="D632" s="29"/>
      <c r="E632" s="37"/>
      <c r="F632" s="37"/>
      <c r="G632" s="37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 ht="11.25" customHeight="1">
      <c r="A633" s="29"/>
      <c r="B633" s="37"/>
      <c r="C633" s="29"/>
      <c r="D633" s="29"/>
      <c r="E633" s="37"/>
      <c r="F633" s="37"/>
      <c r="G633" s="37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 ht="11.25" customHeight="1">
      <c r="A634" s="29"/>
      <c r="B634" s="37"/>
      <c r="C634" s="29"/>
      <c r="D634" s="29"/>
      <c r="E634" s="37"/>
      <c r="F634" s="37"/>
      <c r="G634" s="37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 ht="11.25" customHeight="1">
      <c r="A635" s="29"/>
      <c r="B635" s="37"/>
      <c r="C635" s="29"/>
      <c r="D635" s="29"/>
      <c r="E635" s="37"/>
      <c r="F635" s="37"/>
      <c r="G635" s="37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 ht="11.25" customHeight="1">
      <c r="A636" s="29"/>
      <c r="B636" s="37"/>
      <c r="C636" s="29"/>
      <c r="D636" s="29"/>
      <c r="E636" s="37"/>
      <c r="F636" s="37"/>
      <c r="G636" s="37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 ht="11.25" customHeight="1">
      <c r="A637" s="29"/>
      <c r="B637" s="37"/>
      <c r="C637" s="29"/>
      <c r="D637" s="29"/>
      <c r="E637" s="37"/>
      <c r="F637" s="37"/>
      <c r="G637" s="37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 ht="11.25" customHeight="1">
      <c r="A638" s="29"/>
      <c r="B638" s="37"/>
      <c r="C638" s="29"/>
      <c r="D638" s="29"/>
      <c r="E638" s="37"/>
      <c r="F638" s="37"/>
      <c r="G638" s="37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 ht="11.25" customHeight="1">
      <c r="A639" s="29"/>
      <c r="B639" s="37"/>
      <c r="C639" s="29"/>
      <c r="D639" s="29"/>
      <c r="E639" s="37"/>
      <c r="F639" s="37"/>
      <c r="G639" s="37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 ht="11.25" customHeight="1">
      <c r="A640" s="29"/>
      <c r="B640" s="37"/>
      <c r="C640" s="29"/>
      <c r="D640" s="29"/>
      <c r="E640" s="37"/>
      <c r="F640" s="37"/>
      <c r="G640" s="37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 ht="11.25" customHeight="1">
      <c r="A641" s="29"/>
      <c r="B641" s="37"/>
      <c r="C641" s="29"/>
      <c r="D641" s="29"/>
      <c r="E641" s="37"/>
      <c r="F641" s="37"/>
      <c r="G641" s="37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 ht="11.25" customHeight="1">
      <c r="A642" s="29"/>
      <c r="B642" s="37"/>
      <c r="C642" s="29"/>
      <c r="D642" s="29"/>
      <c r="E642" s="37"/>
      <c r="F642" s="37"/>
      <c r="G642" s="37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 ht="11.25" customHeight="1">
      <c r="A643" s="29"/>
      <c r="B643" s="37"/>
      <c r="C643" s="29"/>
      <c r="D643" s="29"/>
      <c r="E643" s="37"/>
      <c r="F643" s="37"/>
      <c r="G643" s="37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 ht="11.25" customHeight="1">
      <c r="A644" s="29"/>
      <c r="B644" s="37"/>
      <c r="C644" s="29"/>
      <c r="D644" s="29"/>
      <c r="E644" s="37"/>
      <c r="F644" s="37"/>
      <c r="G644" s="37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 ht="11.25" customHeight="1">
      <c r="A645" s="29"/>
      <c r="B645" s="37"/>
      <c r="C645" s="29"/>
      <c r="D645" s="29"/>
      <c r="E645" s="37"/>
      <c r="F645" s="37"/>
      <c r="G645" s="37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 ht="11.25" customHeight="1">
      <c r="A646" s="29"/>
      <c r="B646" s="37"/>
      <c r="C646" s="29"/>
      <c r="D646" s="29"/>
      <c r="E646" s="37"/>
      <c r="F646" s="37"/>
      <c r="G646" s="37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 ht="11.25" customHeight="1">
      <c r="A647" s="29"/>
      <c r="B647" s="37"/>
      <c r="C647" s="29"/>
      <c r="D647" s="29"/>
      <c r="E647" s="37"/>
      <c r="F647" s="37"/>
      <c r="G647" s="37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 ht="11.25" customHeight="1">
      <c r="A648" s="29"/>
      <c r="B648" s="37"/>
      <c r="C648" s="29"/>
      <c r="D648" s="29"/>
      <c r="E648" s="37"/>
      <c r="F648" s="37"/>
      <c r="G648" s="37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 ht="11.25" customHeight="1">
      <c r="A649" s="29"/>
      <c r="B649" s="37"/>
      <c r="C649" s="29"/>
      <c r="D649" s="29"/>
      <c r="E649" s="37"/>
      <c r="F649" s="37"/>
      <c r="G649" s="37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 ht="11.25" customHeight="1">
      <c r="A650" s="29"/>
      <c r="B650" s="37"/>
      <c r="C650" s="29"/>
      <c r="D650" s="29"/>
      <c r="E650" s="37"/>
      <c r="F650" s="37"/>
      <c r="G650" s="37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 ht="11.25" customHeight="1">
      <c r="A651" s="29"/>
      <c r="B651" s="37"/>
      <c r="C651" s="29"/>
      <c r="D651" s="29"/>
      <c r="E651" s="37"/>
      <c r="F651" s="37"/>
      <c r="G651" s="37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 ht="11.25" customHeight="1">
      <c r="A652" s="29"/>
      <c r="B652" s="37"/>
      <c r="C652" s="29"/>
      <c r="D652" s="29"/>
      <c r="E652" s="37"/>
      <c r="F652" s="37"/>
      <c r="G652" s="37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 ht="11.25" customHeight="1">
      <c r="A653" s="29"/>
      <c r="B653" s="37"/>
      <c r="C653" s="29"/>
      <c r="D653" s="29"/>
      <c r="E653" s="37"/>
      <c r="F653" s="37"/>
      <c r="G653" s="37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 ht="11.25" customHeight="1">
      <c r="A654" s="29"/>
      <c r="B654" s="37"/>
      <c r="C654" s="29"/>
      <c r="D654" s="29"/>
      <c r="E654" s="37"/>
      <c r="F654" s="37"/>
      <c r="G654" s="37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 ht="11.25" customHeight="1">
      <c r="A655" s="29"/>
      <c r="B655" s="37"/>
      <c r="C655" s="29"/>
      <c r="D655" s="29"/>
      <c r="E655" s="37"/>
      <c r="F655" s="37"/>
      <c r="G655" s="37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 ht="11.25" customHeight="1">
      <c r="A656" s="29"/>
      <c r="B656" s="37"/>
      <c r="C656" s="29"/>
      <c r="D656" s="29"/>
      <c r="E656" s="37"/>
      <c r="F656" s="37"/>
      <c r="G656" s="37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 ht="11.25" customHeight="1">
      <c r="A657" s="29"/>
      <c r="B657" s="37"/>
      <c r="C657" s="29"/>
      <c r="D657" s="29"/>
      <c r="E657" s="37"/>
      <c r="F657" s="37"/>
      <c r="G657" s="37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 ht="11.25" customHeight="1">
      <c r="A658" s="29"/>
      <c r="B658" s="37"/>
      <c r="C658" s="29"/>
      <c r="D658" s="29"/>
      <c r="E658" s="37"/>
      <c r="F658" s="37"/>
      <c r="G658" s="37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 ht="11.25" customHeight="1">
      <c r="A659" s="29"/>
      <c r="B659" s="37"/>
      <c r="C659" s="29"/>
      <c r="D659" s="29"/>
      <c r="E659" s="37"/>
      <c r="F659" s="37"/>
      <c r="G659" s="37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 ht="11.25" customHeight="1">
      <c r="A660" s="29"/>
      <c r="B660" s="37"/>
      <c r="C660" s="29"/>
      <c r="D660" s="29"/>
      <c r="E660" s="37"/>
      <c r="F660" s="37"/>
      <c r="G660" s="37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 ht="11.25" customHeight="1">
      <c r="A661" s="29"/>
      <c r="B661" s="37"/>
      <c r="C661" s="29"/>
      <c r="D661" s="29"/>
      <c r="E661" s="37"/>
      <c r="F661" s="37"/>
      <c r="G661" s="37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 ht="11.25" customHeight="1">
      <c r="A662" s="29"/>
      <c r="B662" s="37"/>
      <c r="C662" s="29"/>
      <c r="D662" s="29"/>
      <c r="E662" s="37"/>
      <c r="F662" s="37"/>
      <c r="G662" s="37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 ht="11.25" customHeight="1">
      <c r="A663" s="29"/>
      <c r="B663" s="37"/>
      <c r="C663" s="29"/>
      <c r="D663" s="29"/>
      <c r="E663" s="37"/>
      <c r="F663" s="37"/>
      <c r="G663" s="37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 ht="11.25" customHeight="1">
      <c r="A664" s="29"/>
      <c r="B664" s="37"/>
      <c r="C664" s="29"/>
      <c r="D664" s="29"/>
      <c r="E664" s="37"/>
      <c r="F664" s="37"/>
      <c r="G664" s="37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 ht="11.25" customHeight="1">
      <c r="A665" s="29"/>
      <c r="B665" s="37"/>
      <c r="C665" s="29"/>
      <c r="D665" s="29"/>
      <c r="E665" s="37"/>
      <c r="F665" s="37"/>
      <c r="G665" s="37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 ht="11.25" customHeight="1">
      <c r="A666" s="29"/>
      <c r="B666" s="37"/>
      <c r="C666" s="29"/>
      <c r="D666" s="29"/>
      <c r="E666" s="37"/>
      <c r="F666" s="37"/>
      <c r="G666" s="37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 ht="11.25" customHeight="1">
      <c r="A667" s="29"/>
      <c r="B667" s="37"/>
      <c r="C667" s="29"/>
      <c r="D667" s="29"/>
      <c r="E667" s="37"/>
      <c r="F667" s="37"/>
      <c r="G667" s="37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 ht="11.25" customHeight="1">
      <c r="A668" s="29"/>
      <c r="B668" s="37"/>
      <c r="C668" s="29"/>
      <c r="D668" s="29"/>
      <c r="E668" s="37"/>
      <c r="F668" s="37"/>
      <c r="G668" s="37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 ht="11.25" customHeight="1">
      <c r="A669" s="29"/>
      <c r="B669" s="37"/>
      <c r="C669" s="29"/>
      <c r="D669" s="29"/>
      <c r="E669" s="37"/>
      <c r="F669" s="37"/>
      <c r="G669" s="37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 ht="11.25" customHeight="1">
      <c r="A670" s="29"/>
      <c r="B670" s="37"/>
      <c r="C670" s="29"/>
      <c r="D670" s="29"/>
      <c r="E670" s="37"/>
      <c r="F670" s="37"/>
      <c r="G670" s="37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 ht="11.25" customHeight="1">
      <c r="A671" s="29"/>
      <c r="B671" s="37"/>
      <c r="C671" s="29"/>
      <c r="D671" s="29"/>
      <c r="E671" s="37"/>
      <c r="F671" s="37"/>
      <c r="G671" s="37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 ht="11.25" customHeight="1">
      <c r="A672" s="29"/>
      <c r="B672" s="37"/>
      <c r="C672" s="29"/>
      <c r="D672" s="29"/>
      <c r="E672" s="37"/>
      <c r="F672" s="37"/>
      <c r="G672" s="37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 ht="11.25" customHeight="1">
      <c r="A673" s="29"/>
      <c r="B673" s="37"/>
      <c r="C673" s="29"/>
      <c r="D673" s="29"/>
      <c r="E673" s="37"/>
      <c r="F673" s="37"/>
      <c r="G673" s="37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 ht="11.25" customHeight="1">
      <c r="A674" s="29"/>
      <c r="B674" s="37"/>
      <c r="C674" s="29"/>
      <c r="D674" s="29"/>
      <c r="E674" s="37"/>
      <c r="F674" s="37"/>
      <c r="G674" s="37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 ht="11.25" customHeight="1">
      <c r="A675" s="29"/>
      <c r="B675" s="37"/>
      <c r="C675" s="29"/>
      <c r="D675" s="29"/>
      <c r="E675" s="37"/>
      <c r="F675" s="37"/>
      <c r="G675" s="37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 ht="11.25" customHeight="1">
      <c r="A676" s="29"/>
      <c r="B676" s="37"/>
      <c r="C676" s="29"/>
      <c r="D676" s="29"/>
      <c r="E676" s="37"/>
      <c r="F676" s="37"/>
      <c r="G676" s="37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 ht="11.25" customHeight="1">
      <c r="A677" s="29"/>
      <c r="B677" s="37"/>
      <c r="C677" s="29"/>
      <c r="D677" s="29"/>
      <c r="E677" s="37"/>
      <c r="F677" s="37"/>
      <c r="G677" s="37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 ht="11.25" customHeight="1">
      <c r="A678" s="29"/>
      <c r="B678" s="37"/>
      <c r="C678" s="29"/>
      <c r="D678" s="29"/>
      <c r="E678" s="37"/>
      <c r="F678" s="37"/>
      <c r="G678" s="37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 ht="11.25" customHeight="1">
      <c r="A679" s="29"/>
      <c r="B679" s="37"/>
      <c r="C679" s="29"/>
      <c r="D679" s="29"/>
      <c r="E679" s="37"/>
      <c r="F679" s="37"/>
      <c r="G679" s="37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 ht="11.25" customHeight="1">
      <c r="A680" s="29"/>
      <c r="B680" s="37"/>
      <c r="C680" s="29"/>
      <c r="D680" s="29"/>
      <c r="E680" s="37"/>
      <c r="F680" s="37"/>
      <c r="G680" s="37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 ht="11.25" customHeight="1">
      <c r="A681" s="29"/>
      <c r="B681" s="37"/>
      <c r="C681" s="29"/>
      <c r="D681" s="29"/>
      <c r="E681" s="37"/>
      <c r="F681" s="37"/>
      <c r="G681" s="37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 ht="11.25" customHeight="1">
      <c r="A682" s="29"/>
      <c r="B682" s="37"/>
      <c r="C682" s="29"/>
      <c r="D682" s="29"/>
      <c r="E682" s="37"/>
      <c r="F682" s="37"/>
      <c r="G682" s="37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 ht="11.25" customHeight="1">
      <c r="A683" s="29"/>
      <c r="B683" s="37"/>
      <c r="C683" s="29"/>
      <c r="D683" s="29"/>
      <c r="E683" s="37"/>
      <c r="F683" s="37"/>
      <c r="G683" s="37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 ht="11.25" customHeight="1">
      <c r="A684" s="29"/>
      <c r="B684" s="37"/>
      <c r="C684" s="29"/>
      <c r="D684" s="29"/>
      <c r="E684" s="37"/>
      <c r="F684" s="37"/>
      <c r="G684" s="37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 ht="11.25" customHeight="1">
      <c r="A685" s="29"/>
      <c r="B685" s="37"/>
      <c r="C685" s="29"/>
      <c r="D685" s="29"/>
      <c r="E685" s="37"/>
      <c r="F685" s="37"/>
      <c r="G685" s="37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 ht="11.25" customHeight="1">
      <c r="A686" s="29"/>
      <c r="B686" s="37"/>
      <c r="C686" s="29"/>
      <c r="D686" s="29"/>
      <c r="E686" s="37"/>
      <c r="F686" s="37"/>
      <c r="G686" s="37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 ht="11.25" customHeight="1">
      <c r="A687" s="29"/>
      <c r="B687" s="37"/>
      <c r="C687" s="29"/>
      <c r="D687" s="29"/>
      <c r="E687" s="37"/>
      <c r="F687" s="37"/>
      <c r="G687" s="37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 ht="11.25" customHeight="1">
      <c r="A688" s="29"/>
      <c r="B688" s="37"/>
      <c r="C688" s="29"/>
      <c r="D688" s="29"/>
      <c r="E688" s="37"/>
      <c r="F688" s="37"/>
      <c r="G688" s="37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 ht="11.25" customHeight="1">
      <c r="A689" s="29"/>
      <c r="B689" s="37"/>
      <c r="C689" s="29"/>
      <c r="D689" s="29"/>
      <c r="E689" s="37"/>
      <c r="F689" s="37"/>
      <c r="G689" s="37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 ht="11.25" customHeight="1">
      <c r="A690" s="29"/>
      <c r="B690" s="37"/>
      <c r="C690" s="29"/>
      <c r="D690" s="29"/>
      <c r="E690" s="37"/>
      <c r="F690" s="37"/>
      <c r="G690" s="37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 ht="11.25" customHeight="1">
      <c r="A691" s="29"/>
      <c r="B691" s="37"/>
      <c r="C691" s="29"/>
      <c r="D691" s="29"/>
      <c r="E691" s="37"/>
      <c r="F691" s="37"/>
      <c r="G691" s="37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 ht="11.25" customHeight="1">
      <c r="A692" s="29"/>
      <c r="B692" s="37"/>
      <c r="C692" s="29"/>
      <c r="D692" s="29"/>
      <c r="E692" s="37"/>
      <c r="F692" s="37"/>
      <c r="G692" s="37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 ht="11.25" customHeight="1">
      <c r="A693" s="29"/>
      <c r="B693" s="37"/>
      <c r="C693" s="29"/>
      <c r="D693" s="29"/>
      <c r="E693" s="37"/>
      <c r="F693" s="37"/>
      <c r="G693" s="37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 ht="11.25" customHeight="1">
      <c r="A694" s="29"/>
      <c r="B694" s="37"/>
      <c r="C694" s="29"/>
      <c r="D694" s="29"/>
      <c r="E694" s="37"/>
      <c r="F694" s="37"/>
      <c r="G694" s="37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 ht="11.25" customHeight="1">
      <c r="A695" s="29"/>
      <c r="B695" s="37"/>
      <c r="C695" s="29"/>
      <c r="D695" s="29"/>
      <c r="E695" s="37"/>
      <c r="F695" s="37"/>
      <c r="G695" s="37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 ht="11.25" customHeight="1">
      <c r="A696" s="29"/>
      <c r="B696" s="37"/>
      <c r="C696" s="29"/>
      <c r="D696" s="29"/>
      <c r="E696" s="37"/>
      <c r="F696" s="37"/>
      <c r="G696" s="37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 ht="11.25" customHeight="1">
      <c r="A697" s="29"/>
      <c r="B697" s="37"/>
      <c r="C697" s="29"/>
      <c r="D697" s="29"/>
      <c r="E697" s="37"/>
      <c r="F697" s="37"/>
      <c r="G697" s="37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 ht="11.25" customHeight="1">
      <c r="A698" s="29"/>
      <c r="B698" s="37"/>
      <c r="C698" s="29"/>
      <c r="D698" s="29"/>
      <c r="E698" s="37"/>
      <c r="F698" s="37"/>
      <c r="G698" s="37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 ht="11.25" customHeight="1">
      <c r="A699" s="29"/>
      <c r="B699" s="37"/>
      <c r="C699" s="29"/>
      <c r="D699" s="29"/>
      <c r="E699" s="37"/>
      <c r="F699" s="37"/>
      <c r="G699" s="37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 ht="11.25" customHeight="1">
      <c r="A700" s="29"/>
      <c r="B700" s="37"/>
      <c r="C700" s="29"/>
      <c r="D700" s="29"/>
      <c r="E700" s="37"/>
      <c r="F700" s="37"/>
      <c r="G700" s="37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 ht="11.25" customHeight="1">
      <c r="A701" s="29"/>
      <c r="B701" s="37"/>
      <c r="C701" s="29"/>
      <c r="D701" s="29"/>
      <c r="E701" s="37"/>
      <c r="F701" s="37"/>
      <c r="G701" s="37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 ht="11.25" customHeight="1">
      <c r="A702" s="29"/>
      <c r="B702" s="37"/>
      <c r="C702" s="29"/>
      <c r="D702" s="29"/>
      <c r="E702" s="37"/>
      <c r="F702" s="37"/>
      <c r="G702" s="37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 ht="11.25" customHeight="1">
      <c r="A703" s="29"/>
      <c r="B703" s="37"/>
      <c r="C703" s="29"/>
      <c r="D703" s="29"/>
      <c r="E703" s="37"/>
      <c r="F703" s="37"/>
      <c r="G703" s="37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 ht="11.25" customHeight="1">
      <c r="A704" s="29"/>
      <c r="B704" s="37"/>
      <c r="C704" s="29"/>
      <c r="D704" s="29"/>
      <c r="E704" s="37"/>
      <c r="F704" s="37"/>
      <c r="G704" s="37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 ht="11.25" customHeight="1">
      <c r="A705" s="29"/>
      <c r="B705" s="37"/>
      <c r="C705" s="29"/>
      <c r="D705" s="29"/>
      <c r="E705" s="37"/>
      <c r="F705" s="37"/>
      <c r="G705" s="37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 ht="11.25" customHeight="1">
      <c r="A706" s="29"/>
      <c r="B706" s="37"/>
      <c r="C706" s="29"/>
      <c r="D706" s="29"/>
      <c r="E706" s="37"/>
      <c r="F706" s="37"/>
      <c r="G706" s="37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 ht="11.25" customHeight="1">
      <c r="A707" s="29"/>
      <c r="B707" s="37"/>
      <c r="C707" s="29"/>
      <c r="D707" s="29"/>
      <c r="E707" s="37"/>
      <c r="F707" s="37"/>
      <c r="G707" s="37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 ht="11.25" customHeight="1">
      <c r="A708" s="29"/>
      <c r="B708" s="37"/>
      <c r="C708" s="29"/>
      <c r="D708" s="29"/>
      <c r="E708" s="37"/>
      <c r="F708" s="37"/>
      <c r="G708" s="37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 ht="11.25" customHeight="1">
      <c r="A709" s="29"/>
      <c r="B709" s="37"/>
      <c r="C709" s="29"/>
      <c r="D709" s="29"/>
      <c r="E709" s="37"/>
      <c r="F709" s="37"/>
      <c r="G709" s="37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 ht="11.25" customHeight="1">
      <c r="A710" s="29"/>
      <c r="B710" s="37"/>
      <c r="C710" s="29"/>
      <c r="D710" s="29"/>
      <c r="E710" s="37"/>
      <c r="F710" s="37"/>
      <c r="G710" s="37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 ht="11.25" customHeight="1">
      <c r="A711" s="29"/>
      <c r="B711" s="37"/>
      <c r="C711" s="29"/>
      <c r="D711" s="29"/>
      <c r="E711" s="37"/>
      <c r="F711" s="37"/>
      <c r="G711" s="37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 ht="11.25" customHeight="1">
      <c r="A712" s="29"/>
      <c r="B712" s="37"/>
      <c r="C712" s="29"/>
      <c r="D712" s="29"/>
      <c r="E712" s="37"/>
      <c r="F712" s="37"/>
      <c r="G712" s="37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 ht="11.25" customHeight="1">
      <c r="A713" s="29"/>
      <c r="B713" s="37"/>
      <c r="C713" s="29"/>
      <c r="D713" s="29"/>
      <c r="E713" s="37"/>
      <c r="F713" s="37"/>
      <c r="G713" s="37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 ht="11.25" customHeight="1">
      <c r="A714" s="29"/>
      <c r="B714" s="37"/>
      <c r="C714" s="29"/>
      <c r="D714" s="29"/>
      <c r="E714" s="37"/>
      <c r="F714" s="37"/>
      <c r="G714" s="37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 ht="11.25" customHeight="1">
      <c r="A715" s="29"/>
      <c r="B715" s="37"/>
      <c r="C715" s="29"/>
      <c r="D715" s="29"/>
      <c r="E715" s="37"/>
      <c r="F715" s="37"/>
      <c r="G715" s="37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 ht="11.25" customHeight="1">
      <c r="A716" s="29"/>
      <c r="B716" s="37"/>
      <c r="C716" s="29"/>
      <c r="D716" s="29"/>
      <c r="E716" s="37"/>
      <c r="F716" s="37"/>
      <c r="G716" s="37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 ht="11.25" customHeight="1">
      <c r="A717" s="29"/>
      <c r="B717" s="37"/>
      <c r="C717" s="29"/>
      <c r="D717" s="29"/>
      <c r="E717" s="37"/>
      <c r="F717" s="37"/>
      <c r="G717" s="37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 ht="11.25" customHeight="1">
      <c r="A718" s="29"/>
      <c r="B718" s="37"/>
      <c r="C718" s="29"/>
      <c r="D718" s="29"/>
      <c r="E718" s="37"/>
      <c r="F718" s="37"/>
      <c r="G718" s="37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 ht="11.25" customHeight="1">
      <c r="A719" s="29"/>
      <c r="B719" s="37"/>
      <c r="C719" s="29"/>
      <c r="D719" s="29"/>
      <c r="E719" s="37"/>
      <c r="F719" s="37"/>
      <c r="G719" s="37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 ht="11.25" customHeight="1">
      <c r="A720" s="29"/>
      <c r="B720" s="37"/>
      <c r="C720" s="29"/>
      <c r="D720" s="29"/>
      <c r="E720" s="37"/>
      <c r="F720" s="37"/>
      <c r="G720" s="37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 ht="11.25" customHeight="1">
      <c r="A721" s="29"/>
      <c r="B721" s="37"/>
      <c r="C721" s="29"/>
      <c r="D721" s="29"/>
      <c r="E721" s="37"/>
      <c r="F721" s="37"/>
      <c r="G721" s="37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 ht="11.25" customHeight="1">
      <c r="A722" s="29"/>
      <c r="B722" s="37"/>
      <c r="C722" s="29"/>
      <c r="D722" s="29"/>
      <c r="E722" s="37"/>
      <c r="F722" s="37"/>
      <c r="G722" s="37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 ht="11.25" customHeight="1">
      <c r="A723" s="29"/>
      <c r="B723" s="37"/>
      <c r="C723" s="29"/>
      <c r="D723" s="29"/>
      <c r="E723" s="37"/>
      <c r="F723" s="37"/>
      <c r="G723" s="37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 ht="11.25" customHeight="1">
      <c r="A724" s="29"/>
      <c r="B724" s="37"/>
      <c r="C724" s="29"/>
      <c r="D724" s="29"/>
      <c r="E724" s="37"/>
      <c r="F724" s="37"/>
      <c r="G724" s="37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 ht="11.25" customHeight="1">
      <c r="A725" s="29"/>
      <c r="B725" s="37"/>
      <c r="C725" s="29"/>
      <c r="D725" s="29"/>
      <c r="E725" s="37"/>
      <c r="F725" s="37"/>
      <c r="G725" s="37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 ht="11.25" customHeight="1">
      <c r="A726" s="29"/>
      <c r="B726" s="37"/>
      <c r="C726" s="29"/>
      <c r="D726" s="29"/>
      <c r="E726" s="37"/>
      <c r="F726" s="37"/>
      <c r="G726" s="37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 ht="11.25" customHeight="1">
      <c r="A727" s="29"/>
      <c r="B727" s="37"/>
      <c r="C727" s="29"/>
      <c r="D727" s="29"/>
      <c r="E727" s="37"/>
      <c r="F727" s="37"/>
      <c r="G727" s="37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 ht="11.25" customHeight="1">
      <c r="A728" s="29"/>
      <c r="B728" s="37"/>
      <c r="C728" s="29"/>
      <c r="D728" s="29"/>
      <c r="E728" s="37"/>
      <c r="F728" s="37"/>
      <c r="G728" s="37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 ht="11.25" customHeight="1">
      <c r="A729" s="29"/>
      <c r="B729" s="37"/>
      <c r="C729" s="29"/>
      <c r="D729" s="29"/>
      <c r="E729" s="37"/>
      <c r="F729" s="37"/>
      <c r="G729" s="37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 ht="11.25" customHeight="1">
      <c r="A730" s="29"/>
      <c r="B730" s="37"/>
      <c r="C730" s="29"/>
      <c r="D730" s="29"/>
      <c r="E730" s="37"/>
      <c r="F730" s="37"/>
      <c r="G730" s="37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 ht="11.25" customHeight="1">
      <c r="A731" s="29"/>
      <c r="B731" s="37"/>
      <c r="C731" s="29"/>
      <c r="D731" s="29"/>
      <c r="E731" s="37"/>
      <c r="F731" s="37"/>
      <c r="G731" s="37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 ht="11.25" customHeight="1">
      <c r="A732" s="29"/>
      <c r="B732" s="37"/>
      <c r="C732" s="29"/>
      <c r="D732" s="29"/>
      <c r="E732" s="37"/>
      <c r="F732" s="37"/>
      <c r="G732" s="37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 ht="11.25" customHeight="1">
      <c r="A733" s="29"/>
      <c r="B733" s="37"/>
      <c r="C733" s="29"/>
      <c r="D733" s="29"/>
      <c r="E733" s="37"/>
      <c r="F733" s="37"/>
      <c r="G733" s="37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 ht="11.25" customHeight="1">
      <c r="A734" s="29"/>
      <c r="B734" s="37"/>
      <c r="C734" s="29"/>
      <c r="D734" s="29"/>
      <c r="E734" s="37"/>
      <c r="F734" s="37"/>
      <c r="G734" s="37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 ht="11.25" customHeight="1">
      <c r="A735" s="29"/>
      <c r="B735" s="37"/>
      <c r="C735" s="29"/>
      <c r="D735" s="29"/>
      <c r="E735" s="37"/>
      <c r="F735" s="37"/>
      <c r="G735" s="37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 ht="11.25" customHeight="1">
      <c r="A736" s="29"/>
      <c r="B736" s="37"/>
      <c r="C736" s="29"/>
      <c r="D736" s="29"/>
      <c r="E736" s="37"/>
      <c r="F736" s="37"/>
      <c r="G736" s="37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 ht="11.25" customHeight="1">
      <c r="A737" s="29"/>
      <c r="B737" s="37"/>
      <c r="C737" s="29"/>
      <c r="D737" s="29"/>
      <c r="E737" s="37"/>
      <c r="F737" s="37"/>
      <c r="G737" s="37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 ht="11.25" customHeight="1">
      <c r="A738" s="29"/>
      <c r="B738" s="37"/>
      <c r="C738" s="29"/>
      <c r="D738" s="29"/>
      <c r="E738" s="37"/>
      <c r="F738" s="37"/>
      <c r="G738" s="37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 ht="11.25" customHeight="1">
      <c r="A739" s="29"/>
      <c r="B739" s="37"/>
      <c r="C739" s="29"/>
      <c r="D739" s="29"/>
      <c r="E739" s="37"/>
      <c r="F739" s="37"/>
      <c r="G739" s="37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 ht="11.25" customHeight="1">
      <c r="A740" s="29"/>
      <c r="B740" s="37"/>
      <c r="C740" s="29"/>
      <c r="D740" s="29"/>
      <c r="E740" s="37"/>
      <c r="F740" s="37"/>
      <c r="G740" s="37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 ht="11.25" customHeight="1">
      <c r="A741" s="29"/>
      <c r="B741" s="37"/>
      <c r="C741" s="29"/>
      <c r="D741" s="29"/>
      <c r="E741" s="37"/>
      <c r="F741" s="37"/>
      <c r="G741" s="37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 ht="11.25" customHeight="1">
      <c r="A742" s="29"/>
      <c r="B742" s="37"/>
      <c r="C742" s="29"/>
      <c r="D742" s="29"/>
      <c r="E742" s="37"/>
      <c r="F742" s="37"/>
      <c r="G742" s="37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 ht="11.25" customHeight="1">
      <c r="A743" s="29"/>
      <c r="B743" s="37"/>
      <c r="C743" s="29"/>
      <c r="D743" s="29"/>
      <c r="E743" s="37"/>
      <c r="F743" s="37"/>
      <c r="G743" s="37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 ht="11.25" customHeight="1">
      <c r="A744" s="29"/>
      <c r="B744" s="37"/>
      <c r="C744" s="29"/>
      <c r="D744" s="29"/>
      <c r="E744" s="37"/>
      <c r="F744" s="37"/>
      <c r="G744" s="37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 ht="11.25" customHeight="1">
      <c r="A745" s="29"/>
      <c r="B745" s="37"/>
      <c r="C745" s="29"/>
      <c r="D745" s="29"/>
      <c r="E745" s="37"/>
      <c r="F745" s="37"/>
      <c r="G745" s="37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 ht="11.25" customHeight="1">
      <c r="A746" s="29"/>
      <c r="B746" s="37"/>
      <c r="C746" s="29"/>
      <c r="D746" s="29"/>
      <c r="E746" s="37"/>
      <c r="F746" s="37"/>
      <c r="G746" s="37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 ht="11.25" customHeight="1">
      <c r="A747" s="29"/>
      <c r="B747" s="37"/>
      <c r="C747" s="29"/>
      <c r="D747" s="29"/>
      <c r="E747" s="37"/>
      <c r="F747" s="37"/>
      <c r="G747" s="37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 ht="11.25" customHeight="1">
      <c r="A748" s="29"/>
      <c r="B748" s="37"/>
      <c r="C748" s="29"/>
      <c r="D748" s="29"/>
      <c r="E748" s="37"/>
      <c r="F748" s="37"/>
      <c r="G748" s="37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 ht="11.25" customHeight="1">
      <c r="A749" s="29"/>
      <c r="B749" s="37"/>
      <c r="C749" s="29"/>
      <c r="D749" s="29"/>
      <c r="E749" s="37"/>
      <c r="F749" s="37"/>
      <c r="G749" s="37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 ht="11.25" customHeight="1">
      <c r="A750" s="29"/>
      <c r="B750" s="37"/>
      <c r="C750" s="29"/>
      <c r="D750" s="29"/>
      <c r="E750" s="37"/>
      <c r="F750" s="37"/>
      <c r="G750" s="37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 ht="11.25" customHeight="1">
      <c r="A751" s="29"/>
      <c r="B751" s="37"/>
      <c r="C751" s="29"/>
      <c r="D751" s="29"/>
      <c r="E751" s="37"/>
      <c r="F751" s="37"/>
      <c r="G751" s="37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 ht="11.25" customHeight="1">
      <c r="A752" s="29"/>
      <c r="B752" s="37"/>
      <c r="C752" s="29"/>
      <c r="D752" s="29"/>
      <c r="E752" s="37"/>
      <c r="F752" s="37"/>
      <c r="G752" s="37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 ht="11.25" customHeight="1">
      <c r="A753" s="29"/>
      <c r="B753" s="37"/>
      <c r="C753" s="29"/>
      <c r="D753" s="29"/>
      <c r="E753" s="37"/>
      <c r="F753" s="37"/>
      <c r="G753" s="37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 ht="11.25" customHeight="1">
      <c r="A754" s="29"/>
      <c r="B754" s="37"/>
      <c r="C754" s="29"/>
      <c r="D754" s="29"/>
      <c r="E754" s="37"/>
      <c r="F754" s="37"/>
      <c r="G754" s="37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 ht="11.25" customHeight="1">
      <c r="A755" s="29"/>
      <c r="B755" s="37"/>
      <c r="C755" s="29"/>
      <c r="D755" s="29"/>
      <c r="E755" s="37"/>
      <c r="F755" s="37"/>
      <c r="G755" s="37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 ht="11.25" customHeight="1">
      <c r="A756" s="29"/>
      <c r="B756" s="37"/>
      <c r="C756" s="29"/>
      <c r="D756" s="29"/>
      <c r="E756" s="37"/>
      <c r="F756" s="37"/>
      <c r="G756" s="37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 ht="11.25" customHeight="1">
      <c r="A757" s="29"/>
      <c r="B757" s="37"/>
      <c r="C757" s="29"/>
      <c r="D757" s="29"/>
      <c r="E757" s="37"/>
      <c r="F757" s="37"/>
      <c r="G757" s="37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 ht="11.25" customHeight="1">
      <c r="A758" s="29"/>
      <c r="B758" s="37"/>
      <c r="C758" s="29"/>
      <c r="D758" s="29"/>
      <c r="E758" s="37"/>
      <c r="F758" s="37"/>
      <c r="G758" s="37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 ht="11.25" customHeight="1">
      <c r="A759" s="29"/>
      <c r="B759" s="37"/>
      <c r="C759" s="29"/>
      <c r="D759" s="29"/>
      <c r="E759" s="37"/>
      <c r="F759" s="37"/>
      <c r="G759" s="37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 ht="11.25" customHeight="1">
      <c r="A760" s="29"/>
      <c r="B760" s="37"/>
      <c r="C760" s="29"/>
      <c r="D760" s="29"/>
      <c r="E760" s="37"/>
      <c r="F760" s="37"/>
      <c r="G760" s="37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 ht="11.25" customHeight="1">
      <c r="A761" s="29"/>
      <c r="B761" s="37"/>
      <c r="C761" s="29"/>
      <c r="D761" s="29"/>
      <c r="E761" s="37"/>
      <c r="F761" s="37"/>
      <c r="G761" s="37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 ht="11.25" customHeight="1">
      <c r="A762" s="29"/>
      <c r="B762" s="37"/>
      <c r="C762" s="29"/>
      <c r="D762" s="29"/>
      <c r="E762" s="37"/>
      <c r="F762" s="37"/>
      <c r="G762" s="37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 ht="11.25" customHeight="1">
      <c r="A763" s="29"/>
      <c r="B763" s="37"/>
      <c r="C763" s="29"/>
      <c r="D763" s="29"/>
      <c r="E763" s="37"/>
      <c r="F763" s="37"/>
      <c r="G763" s="37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 ht="11.25" customHeight="1">
      <c r="A764" s="29"/>
      <c r="B764" s="37"/>
      <c r="C764" s="29"/>
      <c r="D764" s="29"/>
      <c r="E764" s="37"/>
      <c r="F764" s="37"/>
      <c r="G764" s="37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 ht="11.25" customHeight="1">
      <c r="A765" s="29"/>
      <c r="B765" s="37"/>
      <c r="C765" s="29"/>
      <c r="D765" s="29"/>
      <c r="E765" s="37"/>
      <c r="F765" s="37"/>
      <c r="G765" s="37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 ht="11.25" customHeight="1">
      <c r="A766" s="29"/>
      <c r="B766" s="37"/>
      <c r="C766" s="29"/>
      <c r="D766" s="29"/>
      <c r="E766" s="37"/>
      <c r="F766" s="37"/>
      <c r="G766" s="37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 ht="11.25" customHeight="1">
      <c r="A767" s="29"/>
      <c r="B767" s="37"/>
      <c r="C767" s="29"/>
      <c r="D767" s="29"/>
      <c r="E767" s="37"/>
      <c r="F767" s="37"/>
      <c r="G767" s="37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 ht="11.25" customHeight="1">
      <c r="A768" s="29"/>
      <c r="B768" s="37"/>
      <c r="C768" s="29"/>
      <c r="D768" s="29"/>
      <c r="E768" s="37"/>
      <c r="F768" s="37"/>
      <c r="G768" s="37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 ht="11.25" customHeight="1">
      <c r="A769" s="29"/>
      <c r="B769" s="37"/>
      <c r="C769" s="29"/>
      <c r="D769" s="29"/>
      <c r="E769" s="37"/>
      <c r="F769" s="37"/>
      <c r="G769" s="37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 ht="11.25" customHeight="1">
      <c r="A770" s="29"/>
      <c r="B770" s="37"/>
      <c r="C770" s="29"/>
      <c r="D770" s="29"/>
      <c r="E770" s="37"/>
      <c r="F770" s="37"/>
      <c r="G770" s="37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 ht="11.25" customHeight="1">
      <c r="A771" s="29"/>
      <c r="B771" s="37"/>
      <c r="C771" s="29"/>
      <c r="D771" s="29"/>
      <c r="E771" s="37"/>
      <c r="F771" s="37"/>
      <c r="G771" s="37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 ht="11.25" customHeight="1">
      <c r="A772" s="29"/>
      <c r="B772" s="37"/>
      <c r="C772" s="29"/>
      <c r="D772" s="29"/>
      <c r="E772" s="37"/>
      <c r="F772" s="37"/>
      <c r="G772" s="37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 ht="11.25" customHeight="1">
      <c r="A773" s="29"/>
      <c r="B773" s="37"/>
      <c r="C773" s="29"/>
      <c r="D773" s="29"/>
      <c r="E773" s="37"/>
      <c r="F773" s="37"/>
      <c r="G773" s="37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 ht="11.25" customHeight="1">
      <c r="A774" s="29"/>
      <c r="B774" s="37"/>
      <c r="C774" s="29"/>
      <c r="D774" s="29"/>
      <c r="E774" s="37"/>
      <c r="F774" s="37"/>
      <c r="G774" s="37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 ht="11.25" customHeight="1">
      <c r="A775" s="29"/>
      <c r="B775" s="37"/>
      <c r="C775" s="29"/>
      <c r="D775" s="29"/>
      <c r="E775" s="37"/>
      <c r="F775" s="37"/>
      <c r="G775" s="37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 ht="11.25" customHeight="1">
      <c r="A776" s="29"/>
      <c r="B776" s="37"/>
      <c r="C776" s="29"/>
      <c r="D776" s="29"/>
      <c r="E776" s="37"/>
      <c r="F776" s="37"/>
      <c r="G776" s="37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 ht="11.25" customHeight="1">
      <c r="A777" s="29"/>
      <c r="B777" s="37"/>
      <c r="C777" s="29"/>
      <c r="D777" s="29"/>
      <c r="E777" s="37"/>
      <c r="F777" s="37"/>
      <c r="G777" s="37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 ht="11.25" customHeight="1">
      <c r="A778" s="29"/>
      <c r="B778" s="37"/>
      <c r="C778" s="29"/>
      <c r="D778" s="29"/>
      <c r="E778" s="37"/>
      <c r="F778" s="37"/>
      <c r="G778" s="37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 ht="11.25" customHeight="1">
      <c r="A779" s="29"/>
      <c r="B779" s="37"/>
      <c r="C779" s="29"/>
      <c r="D779" s="29"/>
      <c r="E779" s="37"/>
      <c r="F779" s="37"/>
      <c r="G779" s="37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 ht="11.25" customHeight="1">
      <c r="A780" s="29"/>
      <c r="B780" s="37"/>
      <c r="C780" s="29"/>
      <c r="D780" s="29"/>
      <c r="E780" s="37"/>
      <c r="F780" s="37"/>
      <c r="G780" s="37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 ht="11.25" customHeight="1">
      <c r="A781" s="29"/>
      <c r="B781" s="37"/>
      <c r="C781" s="29"/>
      <c r="D781" s="29"/>
      <c r="E781" s="37"/>
      <c r="F781" s="37"/>
      <c r="G781" s="37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 ht="11.25" customHeight="1">
      <c r="A782" s="29"/>
      <c r="B782" s="37"/>
      <c r="C782" s="29"/>
      <c r="D782" s="29"/>
      <c r="E782" s="37"/>
      <c r="F782" s="37"/>
      <c r="G782" s="37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 ht="11.25" customHeight="1">
      <c r="A783" s="29"/>
      <c r="B783" s="37"/>
      <c r="C783" s="29"/>
      <c r="D783" s="29"/>
      <c r="E783" s="37"/>
      <c r="F783" s="37"/>
      <c r="G783" s="37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 ht="11.25" customHeight="1">
      <c r="A784" s="29"/>
      <c r="B784" s="37"/>
      <c r="C784" s="29"/>
      <c r="D784" s="29"/>
      <c r="E784" s="37"/>
      <c r="F784" s="37"/>
      <c r="G784" s="37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 ht="11.25" customHeight="1">
      <c r="A785" s="29"/>
      <c r="B785" s="37"/>
      <c r="C785" s="29"/>
      <c r="D785" s="29"/>
      <c r="E785" s="37"/>
      <c r="F785" s="37"/>
      <c r="G785" s="37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 ht="11.25" customHeight="1">
      <c r="A786" s="29"/>
      <c r="B786" s="37"/>
      <c r="C786" s="29"/>
      <c r="D786" s="29"/>
      <c r="E786" s="37"/>
      <c r="F786" s="37"/>
      <c r="G786" s="37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 ht="11.25" customHeight="1">
      <c r="A787" s="29"/>
      <c r="B787" s="37"/>
      <c r="C787" s="29"/>
      <c r="D787" s="29"/>
      <c r="E787" s="37"/>
      <c r="F787" s="37"/>
      <c r="G787" s="37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 ht="11.25" customHeight="1">
      <c r="A788" s="29"/>
      <c r="B788" s="37"/>
      <c r="C788" s="29"/>
      <c r="D788" s="29"/>
      <c r="E788" s="37"/>
      <c r="F788" s="37"/>
      <c r="G788" s="37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 ht="11.25" customHeight="1">
      <c r="A789" s="29"/>
      <c r="B789" s="37"/>
      <c r="C789" s="29"/>
      <c r="D789" s="29"/>
      <c r="E789" s="37"/>
      <c r="F789" s="37"/>
      <c r="G789" s="37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 ht="11.25" customHeight="1">
      <c r="A790" s="29"/>
      <c r="B790" s="37"/>
      <c r="C790" s="29"/>
      <c r="D790" s="29"/>
      <c r="E790" s="37"/>
      <c r="F790" s="37"/>
      <c r="G790" s="37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 ht="11.25" customHeight="1">
      <c r="A791" s="29"/>
      <c r="B791" s="37"/>
      <c r="C791" s="29"/>
      <c r="D791" s="29"/>
      <c r="E791" s="37"/>
      <c r="F791" s="37"/>
      <c r="G791" s="37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 ht="11.25" customHeight="1">
      <c r="A792" s="29"/>
      <c r="B792" s="37"/>
      <c r="C792" s="29"/>
      <c r="D792" s="29"/>
      <c r="E792" s="37"/>
      <c r="F792" s="37"/>
      <c r="G792" s="37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 ht="11.25" customHeight="1">
      <c r="A793" s="29"/>
      <c r="B793" s="37"/>
      <c r="C793" s="29"/>
      <c r="D793" s="29"/>
      <c r="E793" s="37"/>
      <c r="F793" s="37"/>
      <c r="G793" s="37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 ht="11.25" customHeight="1">
      <c r="A794" s="29"/>
      <c r="B794" s="37"/>
      <c r="C794" s="29"/>
      <c r="D794" s="29"/>
      <c r="E794" s="37"/>
      <c r="F794" s="37"/>
      <c r="G794" s="37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 ht="11.25" customHeight="1">
      <c r="A795" s="29"/>
      <c r="B795" s="37"/>
      <c r="C795" s="29"/>
      <c r="D795" s="29"/>
      <c r="E795" s="37"/>
      <c r="F795" s="37"/>
      <c r="G795" s="37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 ht="11.25" customHeight="1">
      <c r="A796" s="29"/>
      <c r="B796" s="37"/>
      <c r="C796" s="29"/>
      <c r="D796" s="29"/>
      <c r="E796" s="37"/>
      <c r="F796" s="37"/>
      <c r="G796" s="37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 ht="11.25" customHeight="1">
      <c r="A797" s="29"/>
      <c r="B797" s="37"/>
      <c r="C797" s="29"/>
      <c r="D797" s="29"/>
      <c r="E797" s="37"/>
      <c r="F797" s="37"/>
      <c r="G797" s="37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 ht="11.25" customHeight="1">
      <c r="A798" s="29"/>
      <c r="B798" s="37"/>
      <c r="C798" s="29"/>
      <c r="D798" s="29"/>
      <c r="E798" s="37"/>
      <c r="F798" s="37"/>
      <c r="G798" s="37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 ht="11.25" customHeight="1">
      <c r="A799" s="29"/>
      <c r="B799" s="37"/>
      <c r="C799" s="29"/>
      <c r="D799" s="29"/>
      <c r="E799" s="37"/>
      <c r="F799" s="37"/>
      <c r="G799" s="37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 ht="11.25" customHeight="1">
      <c r="A800" s="29"/>
      <c r="B800" s="37"/>
      <c r="C800" s="29"/>
      <c r="D800" s="29"/>
      <c r="E800" s="37"/>
      <c r="F800" s="37"/>
      <c r="G800" s="37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 ht="11.25" customHeight="1">
      <c r="A801" s="29"/>
      <c r="B801" s="37"/>
      <c r="C801" s="29"/>
      <c r="D801" s="29"/>
      <c r="E801" s="37"/>
      <c r="F801" s="37"/>
      <c r="G801" s="37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 ht="11.25" customHeight="1">
      <c r="A802" s="29"/>
      <c r="B802" s="37"/>
      <c r="C802" s="29"/>
      <c r="D802" s="29"/>
      <c r="E802" s="37"/>
      <c r="F802" s="37"/>
      <c r="G802" s="37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 ht="11.25" customHeight="1">
      <c r="A803" s="29"/>
      <c r="B803" s="37"/>
      <c r="C803" s="29"/>
      <c r="D803" s="29"/>
      <c r="E803" s="37"/>
      <c r="F803" s="37"/>
      <c r="G803" s="37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 ht="11.25" customHeight="1">
      <c r="A804" s="29"/>
      <c r="B804" s="37"/>
      <c r="C804" s="29"/>
      <c r="D804" s="29"/>
      <c r="E804" s="37"/>
      <c r="F804" s="37"/>
      <c r="G804" s="37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 ht="11.25" customHeight="1">
      <c r="A805" s="29"/>
      <c r="B805" s="37"/>
      <c r="C805" s="29"/>
      <c r="D805" s="29"/>
      <c r="E805" s="37"/>
      <c r="F805" s="37"/>
      <c r="G805" s="37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 ht="11.25" customHeight="1">
      <c r="A806" s="29"/>
      <c r="B806" s="37"/>
      <c r="C806" s="29"/>
      <c r="D806" s="29"/>
      <c r="E806" s="37"/>
      <c r="F806" s="37"/>
      <c r="G806" s="37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 ht="11.25" customHeight="1">
      <c r="A807" s="29"/>
      <c r="B807" s="37"/>
      <c r="C807" s="29"/>
      <c r="D807" s="29"/>
      <c r="E807" s="37"/>
      <c r="F807" s="37"/>
      <c r="G807" s="37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 ht="11.25" customHeight="1">
      <c r="A808" s="29"/>
      <c r="B808" s="37"/>
      <c r="C808" s="29"/>
      <c r="D808" s="29"/>
      <c r="E808" s="37"/>
      <c r="F808" s="37"/>
      <c r="G808" s="37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 ht="11.25" customHeight="1">
      <c r="A809" s="29"/>
      <c r="B809" s="37"/>
      <c r="C809" s="29"/>
      <c r="D809" s="29"/>
      <c r="E809" s="37"/>
      <c r="F809" s="37"/>
      <c r="G809" s="37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 ht="11.25" customHeight="1">
      <c r="A810" s="29"/>
      <c r="B810" s="37"/>
      <c r="C810" s="29"/>
      <c r="D810" s="29"/>
      <c r="E810" s="37"/>
      <c r="F810" s="37"/>
      <c r="G810" s="37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 ht="11.25" customHeight="1">
      <c r="A811" s="29"/>
      <c r="B811" s="37"/>
      <c r="C811" s="29"/>
      <c r="D811" s="29"/>
      <c r="E811" s="37"/>
      <c r="F811" s="37"/>
      <c r="G811" s="37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 ht="11.25" customHeight="1">
      <c r="A812" s="29"/>
      <c r="B812" s="37"/>
      <c r="C812" s="29"/>
      <c r="D812" s="29"/>
      <c r="E812" s="37"/>
      <c r="F812" s="37"/>
      <c r="G812" s="37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 ht="11.25" customHeight="1">
      <c r="A813" s="29"/>
      <c r="B813" s="37"/>
      <c r="C813" s="29"/>
      <c r="D813" s="29"/>
      <c r="E813" s="37"/>
      <c r="F813" s="37"/>
      <c r="G813" s="37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 ht="11.25" customHeight="1">
      <c r="A814" s="29"/>
      <c r="B814" s="37"/>
      <c r="C814" s="29"/>
      <c r="D814" s="29"/>
      <c r="E814" s="37"/>
      <c r="F814" s="37"/>
      <c r="G814" s="37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 ht="11.25" customHeight="1">
      <c r="A815" s="29"/>
      <c r="B815" s="37"/>
      <c r="C815" s="29"/>
      <c r="D815" s="29"/>
      <c r="E815" s="37"/>
      <c r="F815" s="37"/>
      <c r="G815" s="37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 ht="11.25" customHeight="1">
      <c r="A816" s="29"/>
      <c r="B816" s="37"/>
      <c r="C816" s="29"/>
      <c r="D816" s="29"/>
      <c r="E816" s="37"/>
      <c r="F816" s="37"/>
      <c r="G816" s="37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 ht="11.25" customHeight="1">
      <c r="A817" s="29"/>
      <c r="B817" s="37"/>
      <c r="C817" s="29"/>
      <c r="D817" s="29"/>
      <c r="E817" s="37"/>
      <c r="F817" s="37"/>
      <c r="G817" s="37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 ht="11.25" customHeight="1">
      <c r="A818" s="29"/>
      <c r="B818" s="37"/>
      <c r="C818" s="29"/>
      <c r="D818" s="29"/>
      <c r="E818" s="37"/>
      <c r="F818" s="37"/>
      <c r="G818" s="37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 ht="11.25" customHeight="1">
      <c r="A819" s="29"/>
      <c r="B819" s="37"/>
      <c r="C819" s="29"/>
      <c r="D819" s="29"/>
      <c r="E819" s="37"/>
      <c r="F819" s="37"/>
      <c r="G819" s="37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 ht="11.25" customHeight="1">
      <c r="A820" s="29"/>
      <c r="B820" s="37"/>
      <c r="C820" s="29"/>
      <c r="D820" s="29"/>
      <c r="E820" s="37"/>
      <c r="F820" s="37"/>
      <c r="G820" s="37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 ht="11.25" customHeight="1">
      <c r="A821" s="29"/>
      <c r="B821" s="37"/>
      <c r="C821" s="29"/>
      <c r="D821" s="29"/>
      <c r="E821" s="37"/>
      <c r="F821" s="37"/>
      <c r="G821" s="37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 ht="11.25" customHeight="1">
      <c r="A822" s="29"/>
      <c r="B822" s="37"/>
      <c r="C822" s="29"/>
      <c r="D822" s="29"/>
      <c r="E822" s="37"/>
      <c r="F822" s="37"/>
      <c r="G822" s="37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 ht="11.25" customHeight="1">
      <c r="A823" s="29"/>
      <c r="B823" s="37"/>
      <c r="C823" s="29"/>
      <c r="D823" s="29"/>
      <c r="E823" s="37"/>
      <c r="F823" s="37"/>
      <c r="G823" s="37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 ht="11.25" customHeight="1">
      <c r="A824" s="29"/>
      <c r="B824" s="37"/>
      <c r="C824" s="29"/>
      <c r="D824" s="29"/>
      <c r="E824" s="37"/>
      <c r="F824" s="37"/>
      <c r="G824" s="37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 ht="11.25" customHeight="1">
      <c r="A825" s="29"/>
      <c r="B825" s="37"/>
      <c r="C825" s="29"/>
      <c r="D825" s="29"/>
      <c r="E825" s="37"/>
      <c r="F825" s="37"/>
      <c r="G825" s="37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 ht="11.25" customHeight="1">
      <c r="A826" s="29"/>
      <c r="B826" s="37"/>
      <c r="C826" s="29"/>
      <c r="D826" s="29"/>
      <c r="E826" s="37"/>
      <c r="F826" s="37"/>
      <c r="G826" s="37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 ht="11.25" customHeight="1">
      <c r="A827" s="29"/>
      <c r="B827" s="37"/>
      <c r="C827" s="29"/>
      <c r="D827" s="29"/>
      <c r="E827" s="37"/>
      <c r="F827" s="37"/>
      <c r="G827" s="37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 ht="11.25" customHeight="1">
      <c r="A828" s="29"/>
      <c r="B828" s="37"/>
      <c r="C828" s="29"/>
      <c r="D828" s="29"/>
      <c r="E828" s="37"/>
      <c r="F828" s="37"/>
      <c r="G828" s="37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 ht="11.25" customHeight="1">
      <c r="A829" s="29"/>
      <c r="B829" s="37"/>
      <c r="C829" s="29"/>
      <c r="D829" s="29"/>
      <c r="E829" s="37"/>
      <c r="F829" s="37"/>
      <c r="G829" s="37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 ht="11.25" customHeight="1">
      <c r="A830" s="29"/>
      <c r="B830" s="37"/>
      <c r="C830" s="29"/>
      <c r="D830" s="29"/>
      <c r="E830" s="37"/>
      <c r="F830" s="37"/>
      <c r="G830" s="37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 ht="11.25" customHeight="1">
      <c r="A831" s="29"/>
      <c r="B831" s="37"/>
      <c r="C831" s="29"/>
      <c r="D831" s="29"/>
      <c r="E831" s="37"/>
      <c r="F831" s="37"/>
      <c r="G831" s="37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 ht="11.25" customHeight="1">
      <c r="A832" s="29"/>
      <c r="B832" s="37"/>
      <c r="C832" s="29"/>
      <c r="D832" s="29"/>
      <c r="E832" s="37"/>
      <c r="F832" s="37"/>
      <c r="G832" s="37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 ht="11.25" customHeight="1">
      <c r="A833" s="29"/>
      <c r="B833" s="37"/>
      <c r="C833" s="29"/>
      <c r="D833" s="29"/>
      <c r="E833" s="37"/>
      <c r="F833" s="37"/>
      <c r="G833" s="37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 ht="11.25" customHeight="1">
      <c r="A834" s="29"/>
      <c r="B834" s="37"/>
      <c r="C834" s="29"/>
      <c r="D834" s="29"/>
      <c r="E834" s="37"/>
      <c r="F834" s="37"/>
      <c r="G834" s="37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</row>
    <row r="835" ht="11.25" customHeight="1">
      <c r="A835" s="29"/>
      <c r="B835" s="37"/>
      <c r="C835" s="29"/>
      <c r="D835" s="29"/>
      <c r="E835" s="37"/>
      <c r="F835" s="37"/>
      <c r="G835" s="37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 ht="11.25" customHeight="1">
      <c r="A836" s="29"/>
      <c r="B836" s="37"/>
      <c r="C836" s="29"/>
      <c r="D836" s="29"/>
      <c r="E836" s="37"/>
      <c r="F836" s="37"/>
      <c r="G836" s="37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</row>
    <row r="837" ht="11.25" customHeight="1">
      <c r="A837" s="29"/>
      <c r="B837" s="37"/>
      <c r="C837" s="29"/>
      <c r="D837" s="29"/>
      <c r="E837" s="37"/>
      <c r="F837" s="37"/>
      <c r="G837" s="37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</row>
    <row r="838" ht="11.25" customHeight="1">
      <c r="A838" s="29"/>
      <c r="B838" s="37"/>
      <c r="C838" s="29"/>
      <c r="D838" s="29"/>
      <c r="E838" s="37"/>
      <c r="F838" s="37"/>
      <c r="G838" s="37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 ht="11.25" customHeight="1">
      <c r="A839" s="29"/>
      <c r="B839" s="37"/>
      <c r="C839" s="29"/>
      <c r="D839" s="29"/>
      <c r="E839" s="37"/>
      <c r="F839" s="37"/>
      <c r="G839" s="37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  <row r="840" ht="11.25" customHeight="1">
      <c r="A840" s="29"/>
      <c r="B840" s="37"/>
      <c r="C840" s="29"/>
      <c r="D840" s="29"/>
      <c r="E840" s="37"/>
      <c r="F840" s="37"/>
      <c r="G840" s="37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</row>
    <row r="841" ht="11.25" customHeight="1">
      <c r="A841" s="29"/>
      <c r="B841" s="37"/>
      <c r="C841" s="29"/>
      <c r="D841" s="29"/>
      <c r="E841" s="37"/>
      <c r="F841" s="37"/>
      <c r="G841" s="37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</row>
    <row r="842" ht="11.25" customHeight="1">
      <c r="A842" s="29"/>
      <c r="B842" s="37"/>
      <c r="C842" s="29"/>
      <c r="D842" s="29"/>
      <c r="E842" s="37"/>
      <c r="F842" s="37"/>
      <c r="G842" s="37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 ht="11.25" customHeight="1">
      <c r="A843" s="29"/>
      <c r="B843" s="37"/>
      <c r="C843" s="29"/>
      <c r="D843" s="29"/>
      <c r="E843" s="37"/>
      <c r="F843" s="37"/>
      <c r="G843" s="37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</row>
    <row r="844" ht="11.25" customHeight="1">
      <c r="A844" s="29"/>
      <c r="B844" s="37"/>
      <c r="C844" s="29"/>
      <c r="D844" s="29"/>
      <c r="E844" s="37"/>
      <c r="F844" s="37"/>
      <c r="G844" s="37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</row>
    <row r="845" ht="11.25" customHeight="1">
      <c r="A845" s="29"/>
      <c r="B845" s="37"/>
      <c r="C845" s="29"/>
      <c r="D845" s="29"/>
      <c r="E845" s="37"/>
      <c r="F845" s="37"/>
      <c r="G845" s="37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</row>
    <row r="846" ht="11.25" customHeight="1">
      <c r="A846" s="29"/>
      <c r="B846" s="37"/>
      <c r="C846" s="29"/>
      <c r="D846" s="29"/>
      <c r="E846" s="37"/>
      <c r="F846" s="37"/>
      <c r="G846" s="37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</row>
    <row r="847" ht="11.25" customHeight="1">
      <c r="A847" s="29"/>
      <c r="B847" s="37"/>
      <c r="C847" s="29"/>
      <c r="D847" s="29"/>
      <c r="E847" s="37"/>
      <c r="F847" s="37"/>
      <c r="G847" s="37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</row>
    <row r="848" ht="11.25" customHeight="1">
      <c r="A848" s="29"/>
      <c r="B848" s="37"/>
      <c r="C848" s="29"/>
      <c r="D848" s="29"/>
      <c r="E848" s="37"/>
      <c r="F848" s="37"/>
      <c r="G848" s="37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</row>
    <row r="849" ht="11.25" customHeight="1">
      <c r="A849" s="29"/>
      <c r="B849" s="37"/>
      <c r="C849" s="29"/>
      <c r="D849" s="29"/>
      <c r="E849" s="37"/>
      <c r="F849" s="37"/>
      <c r="G849" s="37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</row>
    <row r="850" ht="11.25" customHeight="1">
      <c r="A850" s="29"/>
      <c r="B850" s="37"/>
      <c r="C850" s="29"/>
      <c r="D850" s="29"/>
      <c r="E850" s="37"/>
      <c r="F850" s="37"/>
      <c r="G850" s="37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</row>
    <row r="851" ht="11.25" customHeight="1">
      <c r="A851" s="29"/>
      <c r="B851" s="37"/>
      <c r="C851" s="29"/>
      <c r="D851" s="29"/>
      <c r="E851" s="37"/>
      <c r="F851" s="37"/>
      <c r="G851" s="37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 ht="11.25" customHeight="1">
      <c r="A852" s="29"/>
      <c r="B852" s="37"/>
      <c r="C852" s="29"/>
      <c r="D852" s="29"/>
      <c r="E852" s="37"/>
      <c r="F852" s="37"/>
      <c r="G852" s="37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 ht="11.25" customHeight="1">
      <c r="A853" s="29"/>
      <c r="B853" s="37"/>
      <c r="C853" s="29"/>
      <c r="D853" s="29"/>
      <c r="E853" s="37"/>
      <c r="F853" s="37"/>
      <c r="G853" s="37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</row>
    <row r="854" ht="11.25" customHeight="1">
      <c r="A854" s="29"/>
      <c r="B854" s="37"/>
      <c r="C854" s="29"/>
      <c r="D854" s="29"/>
      <c r="E854" s="37"/>
      <c r="F854" s="37"/>
      <c r="G854" s="37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 ht="11.25" customHeight="1">
      <c r="A855" s="29"/>
      <c r="B855" s="37"/>
      <c r="C855" s="29"/>
      <c r="D855" s="29"/>
      <c r="E855" s="37"/>
      <c r="F855" s="37"/>
      <c r="G855" s="37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 ht="11.25" customHeight="1">
      <c r="A856" s="29"/>
      <c r="B856" s="37"/>
      <c r="C856" s="29"/>
      <c r="D856" s="29"/>
      <c r="E856" s="37"/>
      <c r="F856" s="37"/>
      <c r="G856" s="37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 ht="11.25" customHeight="1">
      <c r="A857" s="29"/>
      <c r="B857" s="37"/>
      <c r="C857" s="29"/>
      <c r="D857" s="29"/>
      <c r="E857" s="37"/>
      <c r="F857" s="37"/>
      <c r="G857" s="37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</row>
    <row r="858" ht="11.25" customHeight="1">
      <c r="A858" s="29"/>
      <c r="B858" s="37"/>
      <c r="C858" s="29"/>
      <c r="D858" s="29"/>
      <c r="E858" s="37"/>
      <c r="F858" s="37"/>
      <c r="G858" s="37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 ht="11.25" customHeight="1">
      <c r="A859" s="29"/>
      <c r="B859" s="37"/>
      <c r="C859" s="29"/>
      <c r="D859" s="29"/>
      <c r="E859" s="37"/>
      <c r="F859" s="37"/>
      <c r="G859" s="37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 ht="11.25" customHeight="1">
      <c r="A860" s="29"/>
      <c r="B860" s="37"/>
      <c r="C860" s="29"/>
      <c r="D860" s="29"/>
      <c r="E860" s="37"/>
      <c r="F860" s="37"/>
      <c r="G860" s="37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 ht="11.25" customHeight="1">
      <c r="A861" s="29"/>
      <c r="B861" s="37"/>
      <c r="C861" s="29"/>
      <c r="D861" s="29"/>
      <c r="E861" s="37"/>
      <c r="F861" s="37"/>
      <c r="G861" s="37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 ht="11.25" customHeight="1">
      <c r="A862" s="29"/>
      <c r="B862" s="37"/>
      <c r="C862" s="29"/>
      <c r="D862" s="29"/>
      <c r="E862" s="37"/>
      <c r="F862" s="37"/>
      <c r="G862" s="37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 ht="11.25" customHeight="1">
      <c r="A863" s="29"/>
      <c r="B863" s="37"/>
      <c r="C863" s="29"/>
      <c r="D863" s="29"/>
      <c r="E863" s="37"/>
      <c r="F863" s="37"/>
      <c r="G863" s="37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 ht="11.25" customHeight="1">
      <c r="A864" s="29"/>
      <c r="B864" s="37"/>
      <c r="C864" s="29"/>
      <c r="D864" s="29"/>
      <c r="E864" s="37"/>
      <c r="F864" s="37"/>
      <c r="G864" s="37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 ht="11.25" customHeight="1">
      <c r="A865" s="29"/>
      <c r="B865" s="37"/>
      <c r="C865" s="29"/>
      <c r="D865" s="29"/>
      <c r="E865" s="37"/>
      <c r="F865" s="37"/>
      <c r="G865" s="37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 ht="11.25" customHeight="1">
      <c r="A866" s="29"/>
      <c r="B866" s="37"/>
      <c r="C866" s="29"/>
      <c r="D866" s="29"/>
      <c r="E866" s="37"/>
      <c r="F866" s="37"/>
      <c r="G866" s="37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 ht="11.25" customHeight="1">
      <c r="A867" s="29"/>
      <c r="B867" s="37"/>
      <c r="C867" s="29"/>
      <c r="D867" s="29"/>
      <c r="E867" s="37"/>
      <c r="F867" s="37"/>
      <c r="G867" s="37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 ht="11.25" customHeight="1">
      <c r="A868" s="29"/>
      <c r="B868" s="37"/>
      <c r="C868" s="29"/>
      <c r="D868" s="29"/>
      <c r="E868" s="37"/>
      <c r="F868" s="37"/>
      <c r="G868" s="37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 ht="11.25" customHeight="1">
      <c r="A869" s="29"/>
      <c r="B869" s="37"/>
      <c r="C869" s="29"/>
      <c r="D869" s="29"/>
      <c r="E869" s="37"/>
      <c r="F869" s="37"/>
      <c r="G869" s="37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 ht="11.25" customHeight="1">
      <c r="A870" s="29"/>
      <c r="B870" s="37"/>
      <c r="C870" s="29"/>
      <c r="D870" s="29"/>
      <c r="E870" s="37"/>
      <c r="F870" s="37"/>
      <c r="G870" s="37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 ht="11.25" customHeight="1">
      <c r="A871" s="29"/>
      <c r="B871" s="37"/>
      <c r="C871" s="29"/>
      <c r="D871" s="29"/>
      <c r="E871" s="37"/>
      <c r="F871" s="37"/>
      <c r="G871" s="37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 ht="11.25" customHeight="1">
      <c r="A872" s="29"/>
      <c r="B872" s="37"/>
      <c r="C872" s="29"/>
      <c r="D872" s="29"/>
      <c r="E872" s="37"/>
      <c r="F872" s="37"/>
      <c r="G872" s="37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 ht="11.25" customHeight="1">
      <c r="A873" s="29"/>
      <c r="B873" s="37"/>
      <c r="C873" s="29"/>
      <c r="D873" s="29"/>
      <c r="E873" s="37"/>
      <c r="F873" s="37"/>
      <c r="G873" s="37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 ht="11.25" customHeight="1">
      <c r="A874" s="29"/>
      <c r="B874" s="37"/>
      <c r="C874" s="29"/>
      <c r="D874" s="29"/>
      <c r="E874" s="37"/>
      <c r="F874" s="37"/>
      <c r="G874" s="37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 ht="11.25" customHeight="1">
      <c r="A875" s="29"/>
      <c r="B875" s="37"/>
      <c r="C875" s="29"/>
      <c r="D875" s="29"/>
      <c r="E875" s="37"/>
      <c r="F875" s="37"/>
      <c r="G875" s="37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 ht="11.25" customHeight="1">
      <c r="A876" s="29"/>
      <c r="B876" s="37"/>
      <c r="C876" s="29"/>
      <c r="D876" s="29"/>
      <c r="E876" s="37"/>
      <c r="F876" s="37"/>
      <c r="G876" s="37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 ht="11.25" customHeight="1">
      <c r="A877" s="29"/>
      <c r="B877" s="37"/>
      <c r="C877" s="29"/>
      <c r="D877" s="29"/>
      <c r="E877" s="37"/>
      <c r="F877" s="37"/>
      <c r="G877" s="37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 ht="11.25" customHeight="1">
      <c r="A878" s="29"/>
      <c r="B878" s="37"/>
      <c r="C878" s="29"/>
      <c r="D878" s="29"/>
      <c r="E878" s="37"/>
      <c r="F878" s="37"/>
      <c r="G878" s="37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 ht="11.25" customHeight="1">
      <c r="A879" s="29"/>
      <c r="B879" s="37"/>
      <c r="C879" s="29"/>
      <c r="D879" s="29"/>
      <c r="E879" s="37"/>
      <c r="F879" s="37"/>
      <c r="G879" s="37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 ht="11.25" customHeight="1">
      <c r="A880" s="29"/>
      <c r="B880" s="37"/>
      <c r="C880" s="29"/>
      <c r="D880" s="29"/>
      <c r="E880" s="37"/>
      <c r="F880" s="37"/>
      <c r="G880" s="37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 ht="11.25" customHeight="1">
      <c r="A881" s="29"/>
      <c r="B881" s="37"/>
      <c r="C881" s="29"/>
      <c r="D881" s="29"/>
      <c r="E881" s="37"/>
      <c r="F881" s="37"/>
      <c r="G881" s="37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 ht="11.25" customHeight="1">
      <c r="A882" s="29"/>
      <c r="B882" s="37"/>
      <c r="C882" s="29"/>
      <c r="D882" s="29"/>
      <c r="E882" s="37"/>
      <c r="F882" s="37"/>
      <c r="G882" s="37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  <row r="883" ht="11.25" customHeight="1">
      <c r="A883" s="29"/>
      <c r="B883" s="37"/>
      <c r="C883" s="29"/>
      <c r="D883" s="29"/>
      <c r="E883" s="37"/>
      <c r="F883" s="37"/>
      <c r="G883" s="37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 ht="11.25" customHeight="1">
      <c r="A884" s="29"/>
      <c r="B884" s="37"/>
      <c r="C884" s="29"/>
      <c r="D884" s="29"/>
      <c r="E884" s="37"/>
      <c r="F884" s="37"/>
      <c r="G884" s="37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 ht="11.25" customHeight="1">
      <c r="A885" s="29"/>
      <c r="B885" s="37"/>
      <c r="C885" s="29"/>
      <c r="D885" s="29"/>
      <c r="E885" s="37"/>
      <c r="F885" s="37"/>
      <c r="G885" s="37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 ht="11.25" customHeight="1">
      <c r="A886" s="29"/>
      <c r="B886" s="37"/>
      <c r="C886" s="29"/>
      <c r="D886" s="29"/>
      <c r="E886" s="37"/>
      <c r="F886" s="37"/>
      <c r="G886" s="37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 ht="11.25" customHeight="1">
      <c r="A887" s="29"/>
      <c r="B887" s="37"/>
      <c r="C887" s="29"/>
      <c r="D887" s="29"/>
      <c r="E887" s="37"/>
      <c r="F887" s="37"/>
      <c r="G887" s="37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 ht="11.25" customHeight="1">
      <c r="A888" s="29"/>
      <c r="B888" s="37"/>
      <c r="C888" s="29"/>
      <c r="D888" s="29"/>
      <c r="E888" s="37"/>
      <c r="F888" s="37"/>
      <c r="G888" s="37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  <row r="889" ht="11.25" customHeight="1">
      <c r="A889" s="29"/>
      <c r="B889" s="37"/>
      <c r="C889" s="29"/>
      <c r="D889" s="29"/>
      <c r="E889" s="37"/>
      <c r="F889" s="37"/>
      <c r="G889" s="37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</row>
    <row r="890" ht="11.25" customHeight="1">
      <c r="A890" s="29"/>
      <c r="B890" s="37"/>
      <c r="C890" s="29"/>
      <c r="D890" s="29"/>
      <c r="E890" s="37"/>
      <c r="F890" s="37"/>
      <c r="G890" s="37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</row>
    <row r="891" ht="11.25" customHeight="1">
      <c r="A891" s="29"/>
      <c r="B891" s="37"/>
      <c r="C891" s="29"/>
      <c r="D891" s="29"/>
      <c r="E891" s="37"/>
      <c r="F891" s="37"/>
      <c r="G891" s="37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</row>
    <row r="892" ht="11.25" customHeight="1">
      <c r="A892" s="29"/>
      <c r="B892" s="37"/>
      <c r="C892" s="29"/>
      <c r="D892" s="29"/>
      <c r="E892" s="37"/>
      <c r="F892" s="37"/>
      <c r="G892" s="37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</row>
    <row r="893" ht="11.25" customHeight="1">
      <c r="A893" s="29"/>
      <c r="B893" s="37"/>
      <c r="C893" s="29"/>
      <c r="D893" s="29"/>
      <c r="E893" s="37"/>
      <c r="F893" s="37"/>
      <c r="G893" s="37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</row>
    <row r="894" ht="11.25" customHeight="1">
      <c r="A894" s="29"/>
      <c r="B894" s="37"/>
      <c r="C894" s="29"/>
      <c r="D894" s="29"/>
      <c r="E894" s="37"/>
      <c r="F894" s="37"/>
      <c r="G894" s="37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</row>
    <row r="895" ht="11.25" customHeight="1">
      <c r="A895" s="29"/>
      <c r="B895" s="37"/>
      <c r="C895" s="29"/>
      <c r="D895" s="29"/>
      <c r="E895" s="37"/>
      <c r="F895" s="37"/>
      <c r="G895" s="37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</row>
    <row r="896" ht="11.25" customHeight="1">
      <c r="A896" s="29"/>
      <c r="B896" s="37"/>
      <c r="C896" s="29"/>
      <c r="D896" s="29"/>
      <c r="E896" s="37"/>
      <c r="F896" s="37"/>
      <c r="G896" s="37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</row>
    <row r="897" ht="11.25" customHeight="1">
      <c r="A897" s="29"/>
      <c r="B897" s="37"/>
      <c r="C897" s="29"/>
      <c r="D897" s="29"/>
      <c r="E897" s="37"/>
      <c r="F897" s="37"/>
      <c r="G897" s="37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</row>
    <row r="898" ht="11.25" customHeight="1">
      <c r="A898" s="29"/>
      <c r="B898" s="37"/>
      <c r="C898" s="29"/>
      <c r="D898" s="29"/>
      <c r="E898" s="37"/>
      <c r="F898" s="37"/>
      <c r="G898" s="37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</row>
    <row r="899" ht="11.25" customHeight="1">
      <c r="A899" s="29"/>
      <c r="B899" s="37"/>
      <c r="C899" s="29"/>
      <c r="D899" s="29"/>
      <c r="E899" s="37"/>
      <c r="F899" s="37"/>
      <c r="G899" s="37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</row>
    <row r="900" ht="11.25" customHeight="1">
      <c r="A900" s="29"/>
      <c r="B900" s="37"/>
      <c r="C900" s="29"/>
      <c r="D900" s="29"/>
      <c r="E900" s="37"/>
      <c r="F900" s="37"/>
      <c r="G900" s="37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</row>
    <row r="901" ht="11.25" customHeight="1">
      <c r="A901" s="29"/>
      <c r="B901" s="37"/>
      <c r="C901" s="29"/>
      <c r="D901" s="29"/>
      <c r="E901" s="37"/>
      <c r="F901" s="37"/>
      <c r="G901" s="37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</row>
    <row r="902" ht="11.25" customHeight="1">
      <c r="A902" s="29"/>
      <c r="B902" s="37"/>
      <c r="C902" s="29"/>
      <c r="D902" s="29"/>
      <c r="E902" s="37"/>
      <c r="F902" s="37"/>
      <c r="G902" s="37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</row>
    <row r="903" ht="11.25" customHeight="1">
      <c r="A903" s="29"/>
      <c r="B903" s="37"/>
      <c r="C903" s="29"/>
      <c r="D903" s="29"/>
      <c r="E903" s="37"/>
      <c r="F903" s="37"/>
      <c r="G903" s="37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</row>
    <row r="904" ht="11.25" customHeight="1">
      <c r="A904" s="29"/>
      <c r="B904" s="37"/>
      <c r="C904" s="29"/>
      <c r="D904" s="29"/>
      <c r="E904" s="37"/>
      <c r="F904" s="37"/>
      <c r="G904" s="37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</row>
    <row r="905" ht="11.25" customHeight="1">
      <c r="A905" s="29"/>
      <c r="B905" s="37"/>
      <c r="C905" s="29"/>
      <c r="D905" s="29"/>
      <c r="E905" s="37"/>
      <c r="F905" s="37"/>
      <c r="G905" s="37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</row>
    <row r="906" ht="11.25" customHeight="1">
      <c r="A906" s="29"/>
      <c r="B906" s="37"/>
      <c r="C906" s="29"/>
      <c r="D906" s="29"/>
      <c r="E906" s="37"/>
      <c r="F906" s="37"/>
      <c r="G906" s="37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</row>
    <row r="907" ht="11.25" customHeight="1">
      <c r="A907" s="29"/>
      <c r="B907" s="37"/>
      <c r="C907" s="29"/>
      <c r="D907" s="29"/>
      <c r="E907" s="37"/>
      <c r="F907" s="37"/>
      <c r="G907" s="37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</row>
    <row r="908" ht="11.25" customHeight="1">
      <c r="A908" s="29"/>
      <c r="B908" s="37"/>
      <c r="C908" s="29"/>
      <c r="D908" s="29"/>
      <c r="E908" s="37"/>
      <c r="F908" s="37"/>
      <c r="G908" s="37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</row>
    <row r="909" ht="11.25" customHeight="1">
      <c r="A909" s="29"/>
      <c r="B909" s="37"/>
      <c r="C909" s="29"/>
      <c r="D909" s="29"/>
      <c r="E909" s="37"/>
      <c r="F909" s="37"/>
      <c r="G909" s="37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</row>
    <row r="910" ht="11.25" customHeight="1">
      <c r="A910" s="29"/>
      <c r="B910" s="37"/>
      <c r="C910" s="29"/>
      <c r="D910" s="29"/>
      <c r="E910" s="37"/>
      <c r="F910" s="37"/>
      <c r="G910" s="37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</row>
    <row r="911" ht="11.25" customHeight="1">
      <c r="A911" s="29"/>
      <c r="B911" s="37"/>
      <c r="C911" s="29"/>
      <c r="D911" s="29"/>
      <c r="E911" s="37"/>
      <c r="F911" s="37"/>
      <c r="G911" s="37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</row>
    <row r="912" ht="11.25" customHeight="1">
      <c r="A912" s="29"/>
      <c r="B912" s="37"/>
      <c r="C912" s="29"/>
      <c r="D912" s="29"/>
      <c r="E912" s="37"/>
      <c r="F912" s="37"/>
      <c r="G912" s="37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</row>
    <row r="913" ht="11.25" customHeight="1">
      <c r="A913" s="29"/>
      <c r="B913" s="37"/>
      <c r="C913" s="29"/>
      <c r="D913" s="29"/>
      <c r="E913" s="37"/>
      <c r="F913" s="37"/>
      <c r="G913" s="37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</row>
    <row r="914" ht="11.25" customHeight="1">
      <c r="A914" s="29"/>
      <c r="B914" s="37"/>
      <c r="C914" s="29"/>
      <c r="D914" s="29"/>
      <c r="E914" s="37"/>
      <c r="F914" s="37"/>
      <c r="G914" s="37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</row>
    <row r="915" ht="11.25" customHeight="1">
      <c r="A915" s="29"/>
      <c r="B915" s="37"/>
      <c r="C915" s="29"/>
      <c r="D915" s="29"/>
      <c r="E915" s="37"/>
      <c r="F915" s="37"/>
      <c r="G915" s="37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</row>
    <row r="916" ht="11.25" customHeight="1">
      <c r="A916" s="29"/>
      <c r="B916" s="37"/>
      <c r="C916" s="29"/>
      <c r="D916" s="29"/>
      <c r="E916" s="37"/>
      <c r="F916" s="37"/>
      <c r="G916" s="37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</row>
    <row r="917" ht="11.25" customHeight="1">
      <c r="A917" s="29"/>
      <c r="B917" s="37"/>
      <c r="C917" s="29"/>
      <c r="D917" s="29"/>
      <c r="E917" s="37"/>
      <c r="F917" s="37"/>
      <c r="G917" s="37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</row>
    <row r="918" ht="11.25" customHeight="1">
      <c r="A918" s="29"/>
      <c r="B918" s="37"/>
      <c r="C918" s="29"/>
      <c r="D918" s="29"/>
      <c r="E918" s="37"/>
      <c r="F918" s="37"/>
      <c r="G918" s="37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</row>
    <row r="919" ht="11.25" customHeight="1">
      <c r="A919" s="29"/>
      <c r="B919" s="37"/>
      <c r="C919" s="29"/>
      <c r="D919" s="29"/>
      <c r="E919" s="37"/>
      <c r="F919" s="37"/>
      <c r="G919" s="37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</row>
    <row r="920" ht="11.25" customHeight="1">
      <c r="A920" s="29"/>
      <c r="B920" s="37"/>
      <c r="C920" s="29"/>
      <c r="D920" s="29"/>
      <c r="E920" s="37"/>
      <c r="F920" s="37"/>
      <c r="G920" s="37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</row>
    <row r="921" ht="11.25" customHeight="1">
      <c r="A921" s="29"/>
      <c r="B921" s="37"/>
      <c r="C921" s="29"/>
      <c r="D921" s="29"/>
      <c r="E921" s="37"/>
      <c r="F921" s="37"/>
      <c r="G921" s="37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</row>
    <row r="922" ht="11.25" customHeight="1">
      <c r="A922" s="29"/>
      <c r="B922" s="37"/>
      <c r="C922" s="29"/>
      <c r="D922" s="29"/>
      <c r="E922" s="37"/>
      <c r="F922" s="37"/>
      <c r="G922" s="37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</row>
    <row r="923" ht="11.25" customHeight="1">
      <c r="A923" s="29"/>
      <c r="B923" s="37"/>
      <c r="C923" s="29"/>
      <c r="D923" s="29"/>
      <c r="E923" s="37"/>
      <c r="F923" s="37"/>
      <c r="G923" s="37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</row>
    <row r="924" ht="11.25" customHeight="1">
      <c r="A924" s="29"/>
      <c r="B924" s="37"/>
      <c r="C924" s="29"/>
      <c r="D924" s="29"/>
      <c r="E924" s="37"/>
      <c r="F924" s="37"/>
      <c r="G924" s="37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</row>
    <row r="925" ht="11.25" customHeight="1">
      <c r="A925" s="29"/>
      <c r="B925" s="37"/>
      <c r="C925" s="29"/>
      <c r="D925" s="29"/>
      <c r="E925" s="37"/>
      <c r="F925" s="37"/>
      <c r="G925" s="37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</row>
    <row r="926" ht="11.25" customHeight="1">
      <c r="A926" s="29"/>
      <c r="B926" s="37"/>
      <c r="C926" s="29"/>
      <c r="D926" s="29"/>
      <c r="E926" s="37"/>
      <c r="F926" s="37"/>
      <c r="G926" s="37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</row>
    <row r="927" ht="11.25" customHeight="1">
      <c r="A927" s="29"/>
      <c r="B927" s="37"/>
      <c r="C927" s="29"/>
      <c r="D927" s="29"/>
      <c r="E927" s="37"/>
      <c r="F927" s="37"/>
      <c r="G927" s="37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</row>
    <row r="928" ht="11.25" customHeight="1">
      <c r="A928" s="29"/>
      <c r="B928" s="37"/>
      <c r="C928" s="29"/>
      <c r="D928" s="29"/>
      <c r="E928" s="37"/>
      <c r="F928" s="37"/>
      <c r="G928" s="37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</row>
    <row r="929" ht="11.25" customHeight="1">
      <c r="A929" s="29"/>
      <c r="B929" s="37"/>
      <c r="C929" s="29"/>
      <c r="D929" s="29"/>
      <c r="E929" s="37"/>
      <c r="F929" s="37"/>
      <c r="G929" s="37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</row>
    <row r="930" ht="11.25" customHeight="1">
      <c r="A930" s="29"/>
      <c r="B930" s="37"/>
      <c r="C930" s="29"/>
      <c r="D930" s="29"/>
      <c r="E930" s="37"/>
      <c r="F930" s="37"/>
      <c r="G930" s="37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</row>
    <row r="931" ht="11.25" customHeight="1">
      <c r="A931" s="29"/>
      <c r="B931" s="37"/>
      <c r="C931" s="29"/>
      <c r="D931" s="29"/>
      <c r="E931" s="37"/>
      <c r="F931" s="37"/>
      <c r="G931" s="37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</row>
    <row r="932" ht="11.25" customHeight="1">
      <c r="A932" s="29"/>
      <c r="B932" s="37"/>
      <c r="C932" s="29"/>
      <c r="D932" s="29"/>
      <c r="E932" s="37"/>
      <c r="F932" s="37"/>
      <c r="G932" s="37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</row>
    <row r="933" ht="11.25" customHeight="1">
      <c r="A933" s="29"/>
      <c r="B933" s="37"/>
      <c r="C933" s="29"/>
      <c r="D933" s="29"/>
      <c r="E933" s="37"/>
      <c r="F933" s="37"/>
      <c r="G933" s="37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</row>
    <row r="934" ht="11.25" customHeight="1">
      <c r="A934" s="29"/>
      <c r="B934" s="37"/>
      <c r="C934" s="29"/>
      <c r="D934" s="29"/>
      <c r="E934" s="37"/>
      <c r="F934" s="37"/>
      <c r="G934" s="37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</row>
    <row r="935" ht="11.25" customHeight="1">
      <c r="A935" s="29"/>
      <c r="B935" s="37"/>
      <c r="C935" s="29"/>
      <c r="D935" s="29"/>
      <c r="E935" s="37"/>
      <c r="F935" s="37"/>
      <c r="G935" s="37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</row>
    <row r="936" ht="11.25" customHeight="1">
      <c r="A936" s="29"/>
      <c r="B936" s="37"/>
      <c r="C936" s="29"/>
      <c r="D936" s="29"/>
      <c r="E936" s="37"/>
      <c r="F936" s="37"/>
      <c r="G936" s="37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</row>
    <row r="937" ht="11.25" customHeight="1">
      <c r="A937" s="29"/>
      <c r="B937" s="37"/>
      <c r="C937" s="29"/>
      <c r="D937" s="29"/>
      <c r="E937" s="37"/>
      <c r="F937" s="37"/>
      <c r="G937" s="37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</row>
    <row r="938" ht="11.25" customHeight="1">
      <c r="A938" s="29"/>
      <c r="B938" s="37"/>
      <c r="C938" s="29"/>
      <c r="D938" s="29"/>
      <c r="E938" s="37"/>
      <c r="F938" s="37"/>
      <c r="G938" s="37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</row>
    <row r="939" ht="11.25" customHeight="1">
      <c r="A939" s="29"/>
      <c r="B939" s="37"/>
      <c r="C939" s="29"/>
      <c r="D939" s="29"/>
      <c r="E939" s="37"/>
      <c r="F939" s="37"/>
      <c r="G939" s="37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</row>
    <row r="940" ht="11.25" customHeight="1">
      <c r="A940" s="29"/>
      <c r="B940" s="37"/>
      <c r="C940" s="29"/>
      <c r="D940" s="29"/>
      <c r="E940" s="37"/>
      <c r="F940" s="37"/>
      <c r="G940" s="37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</row>
    <row r="941" ht="11.25" customHeight="1">
      <c r="A941" s="29"/>
      <c r="B941" s="37"/>
      <c r="C941" s="29"/>
      <c r="D941" s="29"/>
      <c r="E941" s="37"/>
      <c r="F941" s="37"/>
      <c r="G941" s="37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</row>
    <row r="942" ht="11.25" customHeight="1">
      <c r="A942" s="29"/>
      <c r="B942" s="37"/>
      <c r="C942" s="29"/>
      <c r="D942" s="29"/>
      <c r="E942" s="37"/>
      <c r="F942" s="37"/>
      <c r="G942" s="37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</row>
    <row r="943" ht="11.25" customHeight="1">
      <c r="A943" s="29"/>
      <c r="B943" s="37"/>
      <c r="C943" s="29"/>
      <c r="D943" s="29"/>
      <c r="E943" s="37"/>
      <c r="F943" s="37"/>
      <c r="G943" s="37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</row>
    <row r="944" ht="11.25" customHeight="1">
      <c r="A944" s="29"/>
      <c r="B944" s="37"/>
      <c r="C944" s="29"/>
      <c r="D944" s="29"/>
      <c r="E944" s="37"/>
      <c r="F944" s="37"/>
      <c r="G944" s="37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</row>
    <row r="945" ht="11.25" customHeight="1">
      <c r="A945" s="29"/>
      <c r="B945" s="37"/>
      <c r="C945" s="29"/>
      <c r="D945" s="29"/>
      <c r="E945" s="37"/>
      <c r="F945" s="37"/>
      <c r="G945" s="37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</row>
    <row r="946" ht="11.25" customHeight="1">
      <c r="A946" s="29"/>
      <c r="B946" s="37"/>
      <c r="C946" s="29"/>
      <c r="D946" s="29"/>
      <c r="E946" s="37"/>
      <c r="F946" s="37"/>
      <c r="G946" s="37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</row>
    <row r="947" ht="11.25" customHeight="1">
      <c r="A947" s="29"/>
      <c r="B947" s="37"/>
      <c r="C947" s="29"/>
      <c r="D947" s="29"/>
      <c r="E947" s="37"/>
      <c r="F947" s="37"/>
      <c r="G947" s="37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</row>
    <row r="948" ht="11.25" customHeight="1">
      <c r="A948" s="29"/>
      <c r="B948" s="37"/>
      <c r="C948" s="29"/>
      <c r="D948" s="29"/>
      <c r="E948" s="37"/>
      <c r="F948" s="37"/>
      <c r="G948" s="37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</row>
    <row r="949" ht="11.25" customHeight="1">
      <c r="A949" s="29"/>
      <c r="B949" s="37"/>
      <c r="C949" s="29"/>
      <c r="D949" s="29"/>
      <c r="E949" s="37"/>
      <c r="F949" s="37"/>
      <c r="G949" s="37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</row>
    <row r="950" ht="11.25" customHeight="1">
      <c r="A950" s="29"/>
      <c r="B950" s="37"/>
      <c r="C950" s="29"/>
      <c r="D950" s="29"/>
      <c r="E950" s="37"/>
      <c r="F950" s="37"/>
      <c r="G950" s="37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</row>
    <row r="951" ht="11.25" customHeight="1">
      <c r="A951" s="29"/>
      <c r="B951" s="37"/>
      <c r="C951" s="29"/>
      <c r="D951" s="29"/>
      <c r="E951" s="37"/>
      <c r="F951" s="37"/>
      <c r="G951" s="37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</row>
    <row r="952" ht="11.25" customHeight="1">
      <c r="A952" s="29"/>
      <c r="B952" s="37"/>
      <c r="C952" s="29"/>
      <c r="D952" s="29"/>
      <c r="E952" s="37"/>
      <c r="F952" s="37"/>
      <c r="G952" s="37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</row>
    <row r="953" ht="11.25" customHeight="1">
      <c r="A953" s="29"/>
      <c r="B953" s="37"/>
      <c r="C953" s="29"/>
      <c r="D953" s="29"/>
      <c r="E953" s="37"/>
      <c r="F953" s="37"/>
      <c r="G953" s="37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</row>
    <row r="954" ht="11.25" customHeight="1">
      <c r="A954" s="29"/>
      <c r="B954" s="37"/>
      <c r="C954" s="29"/>
      <c r="D954" s="29"/>
      <c r="E954" s="37"/>
      <c r="F954" s="37"/>
      <c r="G954" s="37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</row>
    <row r="955" ht="11.25" customHeight="1">
      <c r="A955" s="29"/>
      <c r="B955" s="37"/>
      <c r="C955" s="29"/>
      <c r="D955" s="29"/>
      <c r="E955" s="37"/>
      <c r="F955" s="37"/>
      <c r="G955" s="37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</row>
    <row r="956" ht="11.25" customHeight="1">
      <c r="A956" s="29"/>
      <c r="B956" s="37"/>
      <c r="C956" s="29"/>
      <c r="D956" s="29"/>
      <c r="E956" s="37"/>
      <c r="F956" s="37"/>
      <c r="G956" s="37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</row>
    <row r="957" ht="11.25" customHeight="1">
      <c r="A957" s="29"/>
      <c r="B957" s="37"/>
      <c r="C957" s="29"/>
      <c r="D957" s="29"/>
      <c r="E957" s="37"/>
      <c r="F957" s="37"/>
      <c r="G957" s="37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</row>
    <row r="958" ht="11.25" customHeight="1">
      <c r="A958" s="29"/>
      <c r="B958" s="37"/>
      <c r="C958" s="29"/>
      <c r="D958" s="29"/>
      <c r="E958" s="37"/>
      <c r="F958" s="37"/>
      <c r="G958" s="37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</row>
    <row r="959" ht="11.25" customHeight="1">
      <c r="A959" s="29"/>
      <c r="B959" s="37"/>
      <c r="C959" s="29"/>
      <c r="D959" s="29"/>
      <c r="E959" s="37"/>
      <c r="F959" s="37"/>
      <c r="G959" s="37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</row>
    <row r="960" ht="11.25" customHeight="1">
      <c r="A960" s="29"/>
      <c r="B960" s="37"/>
      <c r="C960" s="29"/>
      <c r="D960" s="29"/>
      <c r="E960" s="37"/>
      <c r="F960" s="37"/>
      <c r="G960" s="37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</row>
    <row r="961" ht="11.25" customHeight="1">
      <c r="A961" s="29"/>
      <c r="B961" s="37"/>
      <c r="C961" s="29"/>
      <c r="D961" s="29"/>
      <c r="E961" s="37"/>
      <c r="F961" s="37"/>
      <c r="G961" s="37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</row>
    <row r="962" ht="11.25" customHeight="1">
      <c r="A962" s="29"/>
      <c r="B962" s="37"/>
      <c r="C962" s="29"/>
      <c r="D962" s="29"/>
      <c r="E962" s="37"/>
      <c r="F962" s="37"/>
      <c r="G962" s="37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</row>
    <row r="963" ht="11.25" customHeight="1">
      <c r="A963" s="29"/>
      <c r="B963" s="37"/>
      <c r="C963" s="29"/>
      <c r="D963" s="29"/>
      <c r="E963" s="37"/>
      <c r="F963" s="37"/>
      <c r="G963" s="37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</row>
    <row r="964" ht="11.25" customHeight="1">
      <c r="A964" s="29"/>
      <c r="B964" s="37"/>
      <c r="C964" s="29"/>
      <c r="D964" s="29"/>
      <c r="E964" s="37"/>
      <c r="F964" s="37"/>
      <c r="G964" s="37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</row>
    <row r="965" ht="11.25" customHeight="1">
      <c r="A965" s="29"/>
      <c r="B965" s="37"/>
      <c r="C965" s="29"/>
      <c r="D965" s="29"/>
      <c r="E965" s="37"/>
      <c r="F965" s="37"/>
      <c r="G965" s="37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</row>
    <row r="966" ht="11.25" customHeight="1">
      <c r="A966" s="29"/>
      <c r="B966" s="37"/>
      <c r="C966" s="29"/>
      <c r="D966" s="29"/>
      <c r="E966" s="37"/>
      <c r="F966" s="37"/>
      <c r="G966" s="37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</row>
    <row r="967" ht="11.25" customHeight="1">
      <c r="A967" s="29"/>
      <c r="B967" s="37"/>
      <c r="C967" s="29"/>
      <c r="D967" s="29"/>
      <c r="E967" s="37"/>
      <c r="F967" s="37"/>
      <c r="G967" s="37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</row>
    <row r="968" ht="11.25" customHeight="1">
      <c r="A968" s="29"/>
      <c r="B968" s="37"/>
      <c r="C968" s="29"/>
      <c r="D968" s="29"/>
      <c r="E968" s="37"/>
      <c r="F968" s="37"/>
      <c r="G968" s="37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</row>
    <row r="969" ht="11.25" customHeight="1">
      <c r="A969" s="29"/>
      <c r="B969" s="37"/>
      <c r="C969" s="29"/>
      <c r="D969" s="29"/>
      <c r="E969" s="37"/>
      <c r="F969" s="37"/>
      <c r="G969" s="37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</row>
    <row r="970" ht="11.25" customHeight="1">
      <c r="A970" s="29"/>
      <c r="B970" s="37"/>
      <c r="C970" s="29"/>
      <c r="D970" s="29"/>
      <c r="E970" s="37"/>
      <c r="F970" s="37"/>
      <c r="G970" s="37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</row>
    <row r="971" ht="11.25" customHeight="1">
      <c r="A971" s="29"/>
      <c r="B971" s="37"/>
      <c r="C971" s="29"/>
      <c r="D971" s="29"/>
      <c r="E971" s="37"/>
      <c r="F971" s="37"/>
      <c r="G971" s="37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</row>
    <row r="972" ht="11.25" customHeight="1">
      <c r="A972" s="29"/>
      <c r="B972" s="37"/>
      <c r="C972" s="29"/>
      <c r="D972" s="29"/>
      <c r="E972" s="37"/>
      <c r="F972" s="37"/>
      <c r="G972" s="37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</row>
    <row r="973" ht="11.25" customHeight="1">
      <c r="A973" s="29"/>
      <c r="B973" s="37"/>
      <c r="C973" s="29"/>
      <c r="D973" s="29"/>
      <c r="E973" s="37"/>
      <c r="F973" s="37"/>
      <c r="G973" s="37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</row>
    <row r="974" ht="11.25" customHeight="1">
      <c r="A974" s="29"/>
      <c r="B974" s="37"/>
      <c r="C974" s="29"/>
      <c r="D974" s="29"/>
      <c r="E974" s="37"/>
      <c r="F974" s="37"/>
      <c r="G974" s="37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</row>
    <row r="975" ht="11.25" customHeight="1">
      <c r="A975" s="29"/>
      <c r="B975" s="37"/>
      <c r="C975" s="29"/>
      <c r="D975" s="29"/>
      <c r="E975" s="37"/>
      <c r="F975" s="37"/>
      <c r="G975" s="37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</row>
    <row r="976" ht="11.25" customHeight="1">
      <c r="A976" s="29"/>
      <c r="B976" s="37"/>
      <c r="C976" s="29"/>
      <c r="D976" s="29"/>
      <c r="E976" s="37"/>
      <c r="F976" s="37"/>
      <c r="G976" s="37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</row>
    <row r="977" ht="11.25" customHeight="1">
      <c r="A977" s="29"/>
      <c r="B977" s="37"/>
      <c r="C977" s="29"/>
      <c r="D977" s="29"/>
      <c r="E977" s="37"/>
      <c r="F977" s="37"/>
      <c r="G977" s="37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</row>
    <row r="978" ht="11.25" customHeight="1">
      <c r="A978" s="29"/>
      <c r="B978" s="37"/>
      <c r="C978" s="29"/>
      <c r="D978" s="29"/>
      <c r="E978" s="37"/>
      <c r="F978" s="37"/>
      <c r="G978" s="37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</row>
    <row r="979" ht="11.25" customHeight="1">
      <c r="A979" s="29"/>
      <c r="B979" s="37"/>
      <c r="C979" s="29"/>
      <c r="D979" s="29"/>
      <c r="E979" s="37"/>
      <c r="F979" s="37"/>
      <c r="G979" s="37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</row>
    <row r="980" ht="11.25" customHeight="1">
      <c r="A980" s="29"/>
      <c r="B980" s="37"/>
      <c r="C980" s="29"/>
      <c r="D980" s="29"/>
      <c r="E980" s="37"/>
      <c r="F980" s="37"/>
      <c r="G980" s="37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</row>
    <row r="981" ht="11.25" customHeight="1">
      <c r="A981" s="29"/>
      <c r="B981" s="37"/>
      <c r="C981" s="29"/>
      <c r="D981" s="29"/>
      <c r="E981" s="37"/>
      <c r="F981" s="37"/>
      <c r="G981" s="37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</row>
    <row r="982" ht="11.25" customHeight="1">
      <c r="A982" s="29"/>
      <c r="B982" s="37"/>
      <c r="C982" s="29"/>
      <c r="D982" s="29"/>
      <c r="E982" s="37"/>
      <c r="F982" s="37"/>
      <c r="G982" s="37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</row>
    <row r="983" ht="11.25" customHeight="1">
      <c r="A983" s="29"/>
      <c r="B983" s="37"/>
      <c r="C983" s="29"/>
      <c r="D983" s="29"/>
      <c r="E983" s="37"/>
      <c r="F983" s="37"/>
      <c r="G983" s="37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</row>
    <row r="984" ht="11.25" customHeight="1">
      <c r="A984" s="29"/>
      <c r="B984" s="37"/>
      <c r="C984" s="29"/>
      <c r="D984" s="29"/>
      <c r="E984" s="37"/>
      <c r="F984" s="37"/>
      <c r="G984" s="37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</row>
    <row r="985" ht="11.25" customHeight="1">
      <c r="A985" s="29"/>
      <c r="B985" s="37"/>
      <c r="C985" s="29"/>
      <c r="D985" s="29"/>
      <c r="E985" s="37"/>
      <c r="F985" s="37"/>
      <c r="G985" s="37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</row>
    <row r="986" ht="11.25" customHeight="1">
      <c r="A986" s="29"/>
      <c r="B986" s="37"/>
      <c r="C986" s="29"/>
      <c r="D986" s="29"/>
      <c r="E986" s="37"/>
      <c r="F986" s="37"/>
      <c r="G986" s="37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</row>
    <row r="987" ht="11.25" customHeight="1">
      <c r="A987" s="29"/>
      <c r="B987" s="37"/>
      <c r="C987" s="29"/>
      <c r="D987" s="29"/>
      <c r="E987" s="37"/>
      <c r="F987" s="37"/>
      <c r="G987" s="37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</row>
    <row r="988" ht="11.25" customHeight="1">
      <c r="A988" s="29"/>
      <c r="B988" s="37"/>
      <c r="C988" s="29"/>
      <c r="D988" s="29"/>
      <c r="E988" s="37"/>
      <c r="F988" s="37"/>
      <c r="G988" s="37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</row>
    <row r="989" ht="11.25" customHeight="1">
      <c r="A989" s="29"/>
      <c r="B989" s="37"/>
      <c r="C989" s="29"/>
      <c r="D989" s="29"/>
      <c r="E989" s="37"/>
      <c r="F989" s="37"/>
      <c r="G989" s="37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</row>
    <row r="990" ht="11.25" customHeight="1">
      <c r="A990" s="29"/>
      <c r="B990" s="37"/>
      <c r="C990" s="29"/>
      <c r="D990" s="29"/>
      <c r="E990" s="37"/>
      <c r="F990" s="37"/>
      <c r="G990" s="37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</row>
    <row r="991" ht="11.25" customHeight="1">
      <c r="A991" s="29"/>
      <c r="B991" s="37"/>
      <c r="C991" s="29"/>
      <c r="D991" s="29"/>
      <c r="E991" s="37"/>
      <c r="F991" s="37"/>
      <c r="G991" s="37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</row>
    <row r="992" ht="11.25" customHeight="1">
      <c r="A992" s="29"/>
      <c r="B992" s="37"/>
      <c r="C992" s="29"/>
      <c r="D992" s="29"/>
      <c r="E992" s="37"/>
      <c r="F992" s="37"/>
      <c r="G992" s="37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</row>
    <row r="993" ht="11.25" customHeight="1">
      <c r="A993" s="29"/>
      <c r="B993" s="37"/>
      <c r="C993" s="29"/>
      <c r="D993" s="29"/>
      <c r="E993" s="37"/>
      <c r="F993" s="37"/>
      <c r="G993" s="37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</row>
    <row r="994" ht="11.25" customHeight="1">
      <c r="A994" s="29"/>
      <c r="B994" s="37"/>
      <c r="C994" s="29"/>
      <c r="D994" s="29"/>
      <c r="E994" s="37"/>
      <c r="F994" s="37"/>
      <c r="G994" s="37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</row>
    <row r="995" ht="11.25" customHeight="1">
      <c r="A995" s="29"/>
      <c r="B995" s="37"/>
      <c r="C995" s="29"/>
      <c r="D995" s="29"/>
      <c r="E995" s="37"/>
      <c r="F995" s="37"/>
      <c r="G995" s="37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</row>
    <row r="996" ht="11.25" customHeight="1">
      <c r="A996" s="29"/>
      <c r="B996" s="37"/>
      <c r="C996" s="29"/>
      <c r="D996" s="29"/>
      <c r="E996" s="37"/>
      <c r="F996" s="37"/>
      <c r="G996" s="37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</row>
    <row r="997" ht="11.25" customHeight="1">
      <c r="A997" s="29"/>
      <c r="B997" s="37"/>
      <c r="C997" s="29"/>
      <c r="D997" s="29"/>
      <c r="E997" s="37"/>
      <c r="F997" s="37"/>
      <c r="G997" s="37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</row>
    <row r="998" ht="11.25" customHeight="1">
      <c r="A998" s="29"/>
      <c r="B998" s="37"/>
      <c r="C998" s="29"/>
      <c r="D998" s="29"/>
      <c r="E998" s="37"/>
      <c r="F998" s="37"/>
      <c r="G998" s="37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</row>
    <row r="999" ht="11.25" customHeight="1">
      <c r="A999" s="29"/>
      <c r="B999" s="37"/>
      <c r="C999" s="29"/>
      <c r="D999" s="29"/>
      <c r="E999" s="37"/>
      <c r="F999" s="37"/>
      <c r="G999" s="37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</row>
    <row r="1000" ht="11.25" customHeight="1">
      <c r="A1000" s="29"/>
      <c r="B1000" s="37"/>
      <c r="C1000" s="29"/>
      <c r="D1000" s="29"/>
      <c r="E1000" s="37"/>
      <c r="F1000" s="37"/>
      <c r="G1000" s="37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</row>
  </sheetData>
  <autoFilter ref="$A$12:$G$56"/>
  <mergeCells count="8">
    <mergeCell ref="A1:P1"/>
    <mergeCell ref="A2:G2"/>
    <mergeCell ref="A3:G3"/>
    <mergeCell ref="A4:G4"/>
    <mergeCell ref="A5:G5"/>
    <mergeCell ref="A7:B7"/>
    <mergeCell ref="A8:G8"/>
    <mergeCell ref="A9:B9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4E78"/>
    <pageSetUpPr/>
  </sheetPr>
  <sheetViews>
    <sheetView showGridLines="0" workbookViewId="0"/>
  </sheetViews>
  <sheetFormatPr customHeight="1" defaultColWidth="12.63" defaultRowHeight="15.0"/>
  <cols>
    <col customWidth="1" min="1" max="1" width="23.63"/>
    <col customWidth="1" min="2" max="2" width="25.75"/>
    <col customWidth="1" min="3" max="3" width="43.75"/>
    <col customWidth="1" min="4" max="4" width="41.75"/>
    <col customWidth="1" min="5" max="5" width="19.75"/>
    <col customWidth="1" min="6" max="7" width="14.75"/>
    <col customWidth="1" min="8" max="26" width="10.88"/>
  </cols>
  <sheetData>
    <row r="1" ht="83.25" customHeight="1">
      <c r="A1" s="13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ht="23.25" customHeight="1">
      <c r="A2" s="1" t="s">
        <v>0</v>
      </c>
      <c r="H2" s="15"/>
      <c r="I2" s="15"/>
      <c r="J2" s="15"/>
      <c r="K2" s="15"/>
      <c r="L2" s="15"/>
      <c r="M2" s="15"/>
      <c r="N2" s="15"/>
      <c r="O2" s="15"/>
      <c r="P2" s="15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ht="23.25" customHeight="1">
      <c r="A3" s="1" t="s">
        <v>1</v>
      </c>
      <c r="H3" s="15"/>
      <c r="I3" s="15"/>
      <c r="J3" s="15"/>
      <c r="K3" s="15"/>
      <c r="L3" s="15"/>
      <c r="M3" s="15"/>
      <c r="N3" s="15"/>
      <c r="O3" s="15"/>
      <c r="P3" s="15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ht="23.25" customHeight="1">
      <c r="A4" s="5" t="s">
        <v>7</v>
      </c>
      <c r="H4" s="15"/>
      <c r="I4" s="15"/>
      <c r="J4" s="15"/>
      <c r="K4" s="15"/>
      <c r="L4" s="15"/>
      <c r="M4" s="15"/>
      <c r="N4" s="15"/>
      <c r="O4" s="15"/>
      <c r="P4" s="15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ht="24.0" customHeight="1">
      <c r="A5" s="6" t="s">
        <v>4</v>
      </c>
      <c r="H5" s="3"/>
      <c r="I5" s="3"/>
      <c r="J5" s="3"/>
      <c r="K5" s="3"/>
      <c r="L5" s="3"/>
      <c r="M5" s="3"/>
      <c r="N5" s="3"/>
      <c r="O5" s="3"/>
      <c r="P5" s="3"/>
      <c r="Q5" s="4"/>
      <c r="R5" s="4"/>
      <c r="S5" s="4"/>
      <c r="T5" s="4"/>
      <c r="U5" s="4"/>
      <c r="V5" s="4"/>
      <c r="W5" s="4"/>
      <c r="X5" s="4"/>
      <c r="Y5" s="4"/>
      <c r="Z5" s="4"/>
    </row>
    <row r="6" ht="13.5" customHeight="1">
      <c r="A6" s="19"/>
      <c r="B6" s="19"/>
      <c r="C6" s="19"/>
      <c r="D6" s="19"/>
      <c r="E6" s="19"/>
      <c r="F6" s="19"/>
      <c r="G6" s="19"/>
      <c r="H6" s="20"/>
      <c r="I6" s="20"/>
      <c r="J6" s="20"/>
      <c r="K6" s="20"/>
      <c r="L6" s="20"/>
      <c r="M6" s="20"/>
      <c r="N6" s="20"/>
      <c r="O6" s="20"/>
      <c r="P6" s="20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ht="23.25" customHeight="1">
      <c r="A7" s="18" t="s">
        <v>8</v>
      </c>
      <c r="C7" s="19"/>
      <c r="D7" s="19"/>
      <c r="E7" s="19"/>
      <c r="F7" s="19"/>
      <c r="G7" s="19"/>
      <c r="H7" s="20"/>
      <c r="I7" s="20"/>
      <c r="J7" s="20"/>
      <c r="K7" s="20"/>
      <c r="L7" s="20"/>
      <c r="M7" s="20"/>
      <c r="N7" s="20"/>
      <c r="O7" s="20"/>
      <c r="P7" s="20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ht="39.0" customHeight="1">
      <c r="A8" s="41" t="s">
        <v>267</v>
      </c>
      <c r="H8" s="13"/>
      <c r="I8" s="13"/>
      <c r="J8" s="13"/>
      <c r="K8" s="13"/>
      <c r="L8" s="13"/>
      <c r="M8" s="13"/>
      <c r="N8" s="13"/>
      <c r="O8" s="13"/>
      <c r="P8" s="13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ht="13.5" customHeight="1">
      <c r="A9" s="2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ht="11.25" customHeight="1">
      <c r="A10" s="18" t="s">
        <v>10</v>
      </c>
      <c r="B10" s="18">
        <v>3.0</v>
      </c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ht="11.25" customHeight="1">
      <c r="A11" s="18" t="s">
        <v>11</v>
      </c>
      <c r="B11" s="18" t="s">
        <v>268</v>
      </c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ht="11.25" customHeight="1">
      <c r="A12" s="10" t="s">
        <v>13</v>
      </c>
      <c r="B12" s="10" t="s">
        <v>14</v>
      </c>
      <c r="C12" s="10" t="s">
        <v>15</v>
      </c>
      <c r="D12" s="10" t="s">
        <v>16</v>
      </c>
      <c r="E12" s="10" t="s">
        <v>17</v>
      </c>
      <c r="F12" s="10" t="s">
        <v>18</v>
      </c>
      <c r="G12" s="10" t="s">
        <v>19</v>
      </c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ht="11.25" customHeight="1">
      <c r="A13" s="27" t="s">
        <v>20</v>
      </c>
      <c r="B13" s="28" t="s">
        <v>21</v>
      </c>
      <c r="C13" s="28" t="s">
        <v>21</v>
      </c>
      <c r="D13" s="28" t="s">
        <v>22</v>
      </c>
      <c r="E13" s="28" t="s">
        <v>23</v>
      </c>
      <c r="F13" s="11" t="s">
        <v>24</v>
      </c>
      <c r="G13" s="11">
        <v>2.0</v>
      </c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11.25" customHeight="1">
      <c r="A14" s="27" t="s">
        <v>25</v>
      </c>
      <c r="B14" s="28" t="s">
        <v>26</v>
      </c>
      <c r="C14" s="28" t="s">
        <v>27</v>
      </c>
      <c r="D14" s="28" t="s">
        <v>28</v>
      </c>
      <c r="E14" s="28" t="s">
        <v>23</v>
      </c>
      <c r="F14" s="11" t="s">
        <v>24</v>
      </c>
      <c r="G14" s="11">
        <v>2.0</v>
      </c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21.0" customHeight="1">
      <c r="A15" s="27" t="s">
        <v>29</v>
      </c>
      <c r="B15" s="28" t="s">
        <v>30</v>
      </c>
      <c r="C15" s="28" t="s">
        <v>31</v>
      </c>
      <c r="D15" s="28" t="s">
        <v>28</v>
      </c>
      <c r="E15" s="28" t="s">
        <v>23</v>
      </c>
      <c r="F15" s="11" t="s">
        <v>24</v>
      </c>
      <c r="G15" s="11">
        <v>7.0</v>
      </c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21.0" customHeight="1">
      <c r="A16" s="27" t="s">
        <v>145</v>
      </c>
      <c r="B16" s="28" t="s">
        <v>146</v>
      </c>
      <c r="C16" s="28" t="s">
        <v>146</v>
      </c>
      <c r="D16" s="28" t="s">
        <v>147</v>
      </c>
      <c r="E16" s="28" t="s">
        <v>23</v>
      </c>
      <c r="F16" s="11" t="s">
        <v>24</v>
      </c>
      <c r="G16" s="11">
        <v>2.0</v>
      </c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11.25" customHeight="1">
      <c r="A17" s="27" t="s">
        <v>269</v>
      </c>
      <c r="B17" s="28" t="s">
        <v>270</v>
      </c>
      <c r="C17" s="28" t="s">
        <v>271</v>
      </c>
      <c r="D17" s="35" t="s">
        <v>272</v>
      </c>
      <c r="E17" s="28" t="s">
        <v>23</v>
      </c>
      <c r="F17" s="11" t="s">
        <v>24</v>
      </c>
      <c r="G17" s="11">
        <v>2.0</v>
      </c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232.5" customHeight="1">
      <c r="A18" s="27" t="s">
        <v>273</v>
      </c>
      <c r="B18" s="28" t="s">
        <v>274</v>
      </c>
      <c r="C18" s="28" t="s">
        <v>275</v>
      </c>
      <c r="D18" s="28" t="s">
        <v>276</v>
      </c>
      <c r="E18" s="28" t="s">
        <v>98</v>
      </c>
      <c r="F18" s="11" t="s">
        <v>36</v>
      </c>
      <c r="G18" s="11">
        <v>2.0</v>
      </c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33.0" customHeight="1">
      <c r="A19" s="27" t="s">
        <v>277</v>
      </c>
      <c r="B19" s="28" t="s">
        <v>278</v>
      </c>
      <c r="C19" s="28" t="s">
        <v>279</v>
      </c>
      <c r="D19" s="28" t="s">
        <v>280</v>
      </c>
      <c r="E19" s="28" t="s">
        <v>98</v>
      </c>
      <c r="F19" s="11" t="s">
        <v>99</v>
      </c>
      <c r="G19" s="11">
        <v>4.0</v>
      </c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11.25" customHeight="1">
      <c r="A20" s="27" t="s">
        <v>281</v>
      </c>
      <c r="B20" s="28" t="s">
        <v>282</v>
      </c>
      <c r="C20" s="28" t="s">
        <v>283</v>
      </c>
      <c r="D20" s="28" t="s">
        <v>284</v>
      </c>
      <c r="E20" s="28" t="s">
        <v>98</v>
      </c>
      <c r="F20" s="11" t="s">
        <v>99</v>
      </c>
      <c r="G20" s="11">
        <v>3.0</v>
      </c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11.25" customHeight="1">
      <c r="A21" s="27" t="s">
        <v>285</v>
      </c>
      <c r="B21" s="28" t="s">
        <v>286</v>
      </c>
      <c r="C21" s="28" t="s">
        <v>287</v>
      </c>
      <c r="D21" s="28" t="s">
        <v>288</v>
      </c>
      <c r="E21" s="28" t="s">
        <v>289</v>
      </c>
      <c r="F21" s="11" t="s">
        <v>36</v>
      </c>
      <c r="G21" s="11">
        <v>1.0</v>
      </c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ht="11.25" customHeight="1">
      <c r="A22" s="27" t="s">
        <v>290</v>
      </c>
      <c r="B22" s="28" t="s">
        <v>291</v>
      </c>
      <c r="C22" s="28" t="s">
        <v>292</v>
      </c>
      <c r="D22" s="28" t="s">
        <v>235</v>
      </c>
      <c r="E22" s="28" t="s">
        <v>289</v>
      </c>
      <c r="F22" s="11" t="s">
        <v>36</v>
      </c>
      <c r="G22" s="11">
        <v>1.0</v>
      </c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ht="109.5" customHeight="1">
      <c r="A23" s="27" t="s">
        <v>293</v>
      </c>
      <c r="B23" s="28" t="s">
        <v>294</v>
      </c>
      <c r="C23" s="28" t="s">
        <v>295</v>
      </c>
      <c r="D23" s="28" t="s">
        <v>296</v>
      </c>
      <c r="E23" s="28" t="s">
        <v>289</v>
      </c>
      <c r="F23" s="11" t="s">
        <v>36</v>
      </c>
      <c r="G23" s="11">
        <v>1.0</v>
      </c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ht="11.25" customHeight="1">
      <c r="A24" s="27" t="s">
        <v>108</v>
      </c>
      <c r="B24" s="28" t="s">
        <v>109</v>
      </c>
      <c r="C24" s="28" t="s">
        <v>110</v>
      </c>
      <c r="D24" s="28" t="s">
        <v>111</v>
      </c>
      <c r="E24" s="28" t="s">
        <v>35</v>
      </c>
      <c r="F24" s="11" t="s">
        <v>36</v>
      </c>
      <c r="G24" s="11">
        <v>1.0</v>
      </c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ht="11.25" customHeight="1">
      <c r="A25" s="27" t="s">
        <v>112</v>
      </c>
      <c r="B25" s="28" t="s">
        <v>27</v>
      </c>
      <c r="C25" s="28" t="s">
        <v>110</v>
      </c>
      <c r="D25" s="28" t="s">
        <v>22</v>
      </c>
      <c r="E25" s="28" t="s">
        <v>23</v>
      </c>
      <c r="F25" s="11" t="s">
        <v>24</v>
      </c>
      <c r="G25" s="11">
        <v>4.0</v>
      </c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ht="11.25" customHeight="1">
      <c r="A26" s="27" t="s">
        <v>113</v>
      </c>
      <c r="B26" s="28" t="s">
        <v>114</v>
      </c>
      <c r="C26" s="28" t="s">
        <v>110</v>
      </c>
      <c r="D26" s="28"/>
      <c r="E26" s="28" t="s">
        <v>23</v>
      </c>
      <c r="F26" s="11" t="s">
        <v>24</v>
      </c>
      <c r="G26" s="11">
        <v>21.0</v>
      </c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ht="11.25" customHeight="1">
      <c r="A27" s="27" t="s">
        <v>259</v>
      </c>
      <c r="B27" s="28" t="s">
        <v>260</v>
      </c>
      <c r="C27" s="28" t="s">
        <v>261</v>
      </c>
      <c r="D27" s="28"/>
      <c r="E27" s="28" t="s">
        <v>23</v>
      </c>
      <c r="F27" s="11" t="s">
        <v>24</v>
      </c>
      <c r="G27" s="11">
        <v>23.0</v>
      </c>
      <c r="H27" s="29"/>
      <c r="I27" s="29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 ht="11.25" customHeight="1">
      <c r="A28" s="27" t="s">
        <v>297</v>
      </c>
      <c r="B28" s="28" t="s">
        <v>298</v>
      </c>
      <c r="C28" s="28" t="s">
        <v>299</v>
      </c>
      <c r="D28" s="28"/>
      <c r="E28" s="28" t="s">
        <v>23</v>
      </c>
      <c r="F28" s="11" t="s">
        <v>24</v>
      </c>
      <c r="G28" s="11">
        <v>25.0</v>
      </c>
      <c r="H28" s="29"/>
      <c r="I28" s="29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 ht="11.25" customHeight="1">
      <c r="A29" s="38" t="s">
        <v>300</v>
      </c>
      <c r="B29" s="37"/>
      <c r="C29" s="29"/>
      <c r="D29" s="29"/>
      <c r="E29" s="37"/>
      <c r="F29" s="37"/>
      <c r="G29" s="37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ht="11.25" customHeight="1">
      <c r="A30" s="29"/>
      <c r="B30" s="37"/>
      <c r="C30" s="29"/>
      <c r="D30" s="29"/>
      <c r="E30" s="37"/>
      <c r="F30" s="37"/>
      <c r="G30" s="37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ht="11.25" customHeight="1">
      <c r="A31" s="29"/>
      <c r="B31" s="37"/>
      <c r="C31" s="29"/>
      <c r="D31" s="29"/>
      <c r="E31" s="37"/>
      <c r="F31" s="37"/>
      <c r="G31" s="37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ht="11.25" customHeight="1">
      <c r="A32" s="29"/>
      <c r="B32" s="37"/>
      <c r="C32" s="29"/>
      <c r="D32" s="29"/>
      <c r="E32" s="37"/>
      <c r="F32" s="37"/>
      <c r="G32" s="37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ht="11.25" customHeight="1">
      <c r="A33" s="29"/>
      <c r="B33" s="37"/>
      <c r="C33" s="29"/>
      <c r="D33" s="29"/>
      <c r="E33" s="37"/>
      <c r="F33" s="37"/>
      <c r="G33" s="37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 ht="11.25" customHeight="1">
      <c r="A34" s="29"/>
      <c r="B34" s="37"/>
      <c r="C34" s="29"/>
      <c r="D34" s="29"/>
      <c r="E34" s="37"/>
      <c r="F34" s="37"/>
      <c r="G34" s="37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 ht="11.25" customHeight="1">
      <c r="A35" s="29"/>
      <c r="B35" s="37"/>
      <c r="C35" s="29"/>
      <c r="D35" s="29"/>
      <c r="E35" s="37"/>
      <c r="F35" s="37"/>
      <c r="G35" s="37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 ht="11.25" customHeight="1">
      <c r="A36" s="29"/>
      <c r="B36" s="37"/>
      <c r="C36" s="29"/>
      <c r="D36" s="29"/>
      <c r="E36" s="37"/>
      <c r="F36" s="37"/>
      <c r="G36" s="37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 ht="11.25" customHeight="1">
      <c r="A37" s="29"/>
      <c r="B37" s="37"/>
      <c r="C37" s="29"/>
      <c r="D37" s="29"/>
      <c r="E37" s="37"/>
      <c r="F37" s="37"/>
      <c r="G37" s="37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 ht="11.25" customHeight="1">
      <c r="A38" s="29"/>
      <c r="B38" s="37"/>
      <c r="C38" s="29"/>
      <c r="D38" s="29"/>
      <c r="E38" s="37"/>
      <c r="F38" s="37"/>
      <c r="G38" s="37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 ht="11.25" customHeight="1">
      <c r="A39" s="29"/>
      <c r="B39" s="37"/>
      <c r="C39" s="29"/>
      <c r="D39" s="29"/>
      <c r="E39" s="37"/>
      <c r="F39" s="37"/>
      <c r="G39" s="37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 ht="11.25" customHeight="1">
      <c r="A40" s="29"/>
      <c r="B40" s="37"/>
      <c r="C40" s="29"/>
      <c r="D40" s="29"/>
      <c r="E40" s="37"/>
      <c r="F40" s="37"/>
      <c r="G40" s="37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 ht="11.25" customHeight="1">
      <c r="A41" s="29"/>
      <c r="B41" s="37"/>
      <c r="C41" s="29"/>
      <c r="D41" s="29"/>
      <c r="E41" s="37"/>
      <c r="F41" s="37"/>
      <c r="G41" s="37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 ht="11.25" customHeight="1">
      <c r="A42" s="29"/>
      <c r="B42" s="37"/>
      <c r="C42" s="29"/>
      <c r="D42" s="29"/>
      <c r="E42" s="37"/>
      <c r="F42" s="37"/>
      <c r="G42" s="37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 ht="11.25" customHeight="1">
      <c r="A43" s="29"/>
      <c r="B43" s="37"/>
      <c r="C43" s="29"/>
      <c r="D43" s="29"/>
      <c r="E43" s="37"/>
      <c r="F43" s="37"/>
      <c r="G43" s="37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 ht="11.25" customHeight="1">
      <c r="A44" s="29"/>
      <c r="B44" s="37"/>
      <c r="C44" s="29"/>
      <c r="D44" s="29"/>
      <c r="E44" s="37"/>
      <c r="F44" s="37"/>
      <c r="G44" s="37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 ht="11.25" customHeight="1">
      <c r="A45" s="29"/>
      <c r="B45" s="37"/>
      <c r="C45" s="29"/>
      <c r="D45" s="29"/>
      <c r="E45" s="37"/>
      <c r="F45" s="37"/>
      <c r="G45" s="37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 ht="11.25" customHeight="1">
      <c r="A46" s="29"/>
      <c r="B46" s="37"/>
      <c r="C46" s="29"/>
      <c r="D46" s="29"/>
      <c r="E46" s="37"/>
      <c r="F46" s="37"/>
      <c r="G46" s="37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 ht="11.25" customHeight="1">
      <c r="A47" s="29"/>
      <c r="B47" s="37"/>
      <c r="C47" s="29"/>
      <c r="D47" s="29"/>
      <c r="E47" s="37"/>
      <c r="F47" s="37"/>
      <c r="G47" s="37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 ht="11.25" customHeight="1">
      <c r="A48" s="29"/>
      <c r="B48" s="37"/>
      <c r="C48" s="29"/>
      <c r="D48" s="29"/>
      <c r="E48" s="37"/>
      <c r="F48" s="37"/>
      <c r="G48" s="37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 ht="11.25" customHeight="1">
      <c r="A49" s="29"/>
      <c r="B49" s="37"/>
      <c r="C49" s="29"/>
      <c r="D49" s="29"/>
      <c r="E49" s="37"/>
      <c r="F49" s="37"/>
      <c r="G49" s="37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 ht="11.25" customHeight="1">
      <c r="A50" s="29"/>
      <c r="B50" s="37"/>
      <c r="C50" s="29"/>
      <c r="D50" s="29"/>
      <c r="E50" s="37"/>
      <c r="F50" s="37"/>
      <c r="G50" s="37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 ht="11.25" customHeight="1">
      <c r="A51" s="29"/>
      <c r="B51" s="37"/>
      <c r="C51" s="29"/>
      <c r="D51" s="29"/>
      <c r="E51" s="37"/>
      <c r="F51" s="37"/>
      <c r="G51" s="37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 ht="11.25" customHeight="1">
      <c r="A52" s="29"/>
      <c r="B52" s="37"/>
      <c r="C52" s="29"/>
      <c r="D52" s="29"/>
      <c r="E52" s="37"/>
      <c r="F52" s="37"/>
      <c r="G52" s="37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 ht="11.25" customHeight="1">
      <c r="A53" s="29"/>
      <c r="B53" s="37"/>
      <c r="C53" s="29"/>
      <c r="D53" s="29"/>
      <c r="E53" s="37"/>
      <c r="F53" s="37"/>
      <c r="G53" s="37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 ht="11.25" customHeight="1">
      <c r="A54" s="29"/>
      <c r="B54" s="37"/>
      <c r="C54" s="29"/>
      <c r="D54" s="29"/>
      <c r="E54" s="37"/>
      <c r="F54" s="37"/>
      <c r="G54" s="37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 ht="11.25" customHeight="1">
      <c r="A55" s="29"/>
      <c r="B55" s="37"/>
      <c r="C55" s="29"/>
      <c r="D55" s="29"/>
      <c r="E55" s="37"/>
      <c r="F55" s="37"/>
      <c r="G55" s="37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 ht="11.25" customHeight="1">
      <c r="A56" s="29"/>
      <c r="B56" s="37"/>
      <c r="C56" s="29"/>
      <c r="D56" s="29"/>
      <c r="E56" s="37"/>
      <c r="F56" s="37"/>
      <c r="G56" s="37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 ht="11.25" customHeight="1">
      <c r="A57" s="29"/>
      <c r="B57" s="37"/>
      <c r="C57" s="29"/>
      <c r="D57" s="29"/>
      <c r="E57" s="37"/>
      <c r="F57" s="37"/>
      <c r="G57" s="37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 ht="11.25" customHeight="1">
      <c r="A58" s="29"/>
      <c r="B58" s="37"/>
      <c r="C58" s="29"/>
      <c r="D58" s="29"/>
      <c r="E58" s="37"/>
      <c r="F58" s="37"/>
      <c r="G58" s="37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 ht="11.25" customHeight="1">
      <c r="A59" s="29"/>
      <c r="B59" s="37"/>
      <c r="C59" s="29"/>
      <c r="D59" s="29"/>
      <c r="E59" s="37"/>
      <c r="F59" s="37"/>
      <c r="G59" s="37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 ht="11.25" customHeight="1">
      <c r="A60" s="29"/>
      <c r="B60" s="37"/>
      <c r="C60" s="29"/>
      <c r="D60" s="29"/>
      <c r="E60" s="37"/>
      <c r="F60" s="37"/>
      <c r="G60" s="37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 ht="11.25" customHeight="1">
      <c r="A61" s="29"/>
      <c r="B61" s="37"/>
      <c r="C61" s="29"/>
      <c r="D61" s="29"/>
      <c r="E61" s="37"/>
      <c r="F61" s="37"/>
      <c r="G61" s="37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 ht="11.25" customHeight="1">
      <c r="A62" s="29"/>
      <c r="B62" s="37"/>
      <c r="C62" s="29"/>
      <c r="D62" s="29"/>
      <c r="E62" s="37"/>
      <c r="F62" s="37"/>
      <c r="G62" s="37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 ht="11.25" customHeight="1">
      <c r="A63" s="29"/>
      <c r="B63" s="37"/>
      <c r="C63" s="29"/>
      <c r="D63" s="29"/>
      <c r="E63" s="37"/>
      <c r="F63" s="37"/>
      <c r="G63" s="37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 ht="11.25" customHeight="1">
      <c r="A64" s="29"/>
      <c r="B64" s="37"/>
      <c r="C64" s="29"/>
      <c r="D64" s="29"/>
      <c r="E64" s="37"/>
      <c r="F64" s="37"/>
      <c r="G64" s="37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 ht="11.25" customHeight="1">
      <c r="A65" s="29"/>
      <c r="B65" s="37"/>
      <c r="C65" s="29"/>
      <c r="D65" s="29"/>
      <c r="E65" s="37"/>
      <c r="F65" s="37"/>
      <c r="G65" s="37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 ht="11.25" customHeight="1">
      <c r="A66" s="29"/>
      <c r="B66" s="37"/>
      <c r="C66" s="29"/>
      <c r="D66" s="29"/>
      <c r="E66" s="37"/>
      <c r="F66" s="37"/>
      <c r="G66" s="37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 ht="11.25" customHeight="1">
      <c r="A67" s="29"/>
      <c r="B67" s="37"/>
      <c r="C67" s="29"/>
      <c r="D67" s="29"/>
      <c r="E67" s="37"/>
      <c r="F67" s="37"/>
      <c r="G67" s="37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 ht="11.25" customHeight="1">
      <c r="A68" s="29"/>
      <c r="B68" s="37"/>
      <c r="C68" s="29"/>
      <c r="D68" s="29"/>
      <c r="E68" s="37"/>
      <c r="F68" s="37"/>
      <c r="G68" s="37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 ht="11.25" customHeight="1">
      <c r="A69" s="29"/>
      <c r="B69" s="37"/>
      <c r="C69" s="29"/>
      <c r="D69" s="29"/>
      <c r="E69" s="37"/>
      <c r="F69" s="37"/>
      <c r="G69" s="37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 ht="11.25" customHeight="1">
      <c r="A70" s="29"/>
      <c r="B70" s="37"/>
      <c r="C70" s="29"/>
      <c r="D70" s="29"/>
      <c r="E70" s="37"/>
      <c r="F70" s="37"/>
      <c r="G70" s="37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 ht="11.25" customHeight="1">
      <c r="A71" s="29"/>
      <c r="B71" s="37"/>
      <c r="C71" s="29"/>
      <c r="D71" s="29"/>
      <c r="E71" s="37"/>
      <c r="F71" s="37"/>
      <c r="G71" s="37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 ht="11.25" customHeight="1">
      <c r="A72" s="29"/>
      <c r="B72" s="37"/>
      <c r="C72" s="29"/>
      <c r="D72" s="29"/>
      <c r="E72" s="37"/>
      <c r="F72" s="37"/>
      <c r="G72" s="37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 ht="11.25" customHeight="1">
      <c r="A73" s="29"/>
      <c r="B73" s="37"/>
      <c r="C73" s="29"/>
      <c r="D73" s="29"/>
      <c r="E73" s="37"/>
      <c r="F73" s="37"/>
      <c r="G73" s="37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 ht="11.25" customHeight="1">
      <c r="A74" s="29"/>
      <c r="B74" s="37"/>
      <c r="C74" s="29"/>
      <c r="D74" s="29"/>
      <c r="E74" s="37"/>
      <c r="F74" s="37"/>
      <c r="G74" s="37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 ht="11.25" customHeight="1">
      <c r="A75" s="29"/>
      <c r="B75" s="37"/>
      <c r="C75" s="29"/>
      <c r="D75" s="29"/>
      <c r="E75" s="37"/>
      <c r="F75" s="37"/>
      <c r="G75" s="37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 ht="11.25" customHeight="1">
      <c r="A76" s="29"/>
      <c r="B76" s="37"/>
      <c r="C76" s="29"/>
      <c r="D76" s="29"/>
      <c r="E76" s="37"/>
      <c r="F76" s="37"/>
      <c r="G76" s="37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 ht="11.25" customHeight="1">
      <c r="A77" s="29"/>
      <c r="B77" s="37"/>
      <c r="C77" s="29"/>
      <c r="D77" s="29"/>
      <c r="E77" s="37"/>
      <c r="F77" s="37"/>
      <c r="G77" s="37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 ht="11.25" customHeight="1">
      <c r="A78" s="29"/>
      <c r="B78" s="37"/>
      <c r="C78" s="29"/>
      <c r="D78" s="29"/>
      <c r="E78" s="37"/>
      <c r="F78" s="37"/>
      <c r="G78" s="37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 ht="11.25" customHeight="1">
      <c r="A79" s="29"/>
      <c r="B79" s="37"/>
      <c r="C79" s="29"/>
      <c r="D79" s="29"/>
      <c r="E79" s="37"/>
      <c r="F79" s="37"/>
      <c r="G79" s="37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 ht="11.25" customHeight="1">
      <c r="A80" s="29"/>
      <c r="B80" s="37"/>
      <c r="C80" s="29"/>
      <c r="D80" s="29"/>
      <c r="E80" s="37"/>
      <c r="F80" s="37"/>
      <c r="G80" s="37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 ht="11.25" customHeight="1">
      <c r="A81" s="29"/>
      <c r="B81" s="37"/>
      <c r="C81" s="29"/>
      <c r="D81" s="29"/>
      <c r="E81" s="37"/>
      <c r="F81" s="37"/>
      <c r="G81" s="37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 ht="11.25" customHeight="1">
      <c r="A82" s="29"/>
      <c r="B82" s="37"/>
      <c r="C82" s="29"/>
      <c r="D82" s="29"/>
      <c r="E82" s="37"/>
      <c r="F82" s="37"/>
      <c r="G82" s="37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 ht="11.25" customHeight="1">
      <c r="A83" s="29"/>
      <c r="B83" s="37"/>
      <c r="C83" s="29"/>
      <c r="D83" s="29"/>
      <c r="E83" s="37"/>
      <c r="F83" s="37"/>
      <c r="G83" s="37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 ht="11.25" customHeight="1">
      <c r="A84" s="29"/>
      <c r="B84" s="37"/>
      <c r="C84" s="29"/>
      <c r="D84" s="29"/>
      <c r="E84" s="37"/>
      <c r="F84" s="37"/>
      <c r="G84" s="37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 ht="11.25" customHeight="1">
      <c r="A85" s="29"/>
      <c r="B85" s="37"/>
      <c r="C85" s="29"/>
      <c r="D85" s="29"/>
      <c r="E85" s="37"/>
      <c r="F85" s="37"/>
      <c r="G85" s="37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 ht="11.25" customHeight="1">
      <c r="A86" s="29"/>
      <c r="B86" s="37"/>
      <c r="C86" s="29"/>
      <c r="D86" s="29"/>
      <c r="E86" s="37"/>
      <c r="F86" s="37"/>
      <c r="G86" s="37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 ht="11.25" customHeight="1">
      <c r="A87" s="29"/>
      <c r="B87" s="37"/>
      <c r="C87" s="29"/>
      <c r="D87" s="29"/>
      <c r="E87" s="37"/>
      <c r="F87" s="37"/>
      <c r="G87" s="37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 ht="11.25" customHeight="1">
      <c r="A88" s="29"/>
      <c r="B88" s="37"/>
      <c r="C88" s="29"/>
      <c r="D88" s="29"/>
      <c r="E88" s="37"/>
      <c r="F88" s="37"/>
      <c r="G88" s="37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 ht="11.25" customHeight="1">
      <c r="A89" s="29"/>
      <c r="B89" s="37"/>
      <c r="C89" s="29"/>
      <c r="D89" s="29"/>
      <c r="E89" s="37"/>
      <c r="F89" s="37"/>
      <c r="G89" s="37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 ht="11.25" customHeight="1">
      <c r="A90" s="29"/>
      <c r="B90" s="37"/>
      <c r="C90" s="29"/>
      <c r="D90" s="29"/>
      <c r="E90" s="37"/>
      <c r="F90" s="37"/>
      <c r="G90" s="37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 ht="11.25" customHeight="1">
      <c r="A91" s="29"/>
      <c r="B91" s="37"/>
      <c r="C91" s="29"/>
      <c r="D91" s="29"/>
      <c r="E91" s="37"/>
      <c r="F91" s="37"/>
      <c r="G91" s="37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 ht="11.25" customHeight="1">
      <c r="A92" s="29"/>
      <c r="B92" s="37"/>
      <c r="C92" s="29"/>
      <c r="D92" s="29"/>
      <c r="E92" s="37"/>
      <c r="F92" s="37"/>
      <c r="G92" s="37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 ht="11.25" customHeight="1">
      <c r="A93" s="29"/>
      <c r="B93" s="37"/>
      <c r="C93" s="29"/>
      <c r="D93" s="29"/>
      <c r="E93" s="37"/>
      <c r="F93" s="37"/>
      <c r="G93" s="37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 ht="11.25" customHeight="1">
      <c r="A94" s="29"/>
      <c r="B94" s="37"/>
      <c r="C94" s="29"/>
      <c r="D94" s="29"/>
      <c r="E94" s="37"/>
      <c r="F94" s="37"/>
      <c r="G94" s="37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 ht="11.25" customHeight="1">
      <c r="A95" s="29"/>
      <c r="B95" s="37"/>
      <c r="C95" s="29"/>
      <c r="D95" s="29"/>
      <c r="E95" s="37"/>
      <c r="F95" s="37"/>
      <c r="G95" s="37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 ht="11.25" customHeight="1">
      <c r="A96" s="29"/>
      <c r="B96" s="37"/>
      <c r="C96" s="29"/>
      <c r="D96" s="29"/>
      <c r="E96" s="37"/>
      <c r="F96" s="37"/>
      <c r="G96" s="37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 ht="11.25" customHeight="1">
      <c r="A97" s="29"/>
      <c r="B97" s="37"/>
      <c r="C97" s="29"/>
      <c r="D97" s="29"/>
      <c r="E97" s="37"/>
      <c r="F97" s="37"/>
      <c r="G97" s="37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 ht="11.25" customHeight="1">
      <c r="A98" s="29"/>
      <c r="B98" s="37"/>
      <c r="C98" s="29"/>
      <c r="D98" s="29"/>
      <c r="E98" s="37"/>
      <c r="F98" s="37"/>
      <c r="G98" s="37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 ht="11.25" customHeight="1">
      <c r="A99" s="29"/>
      <c r="B99" s="37"/>
      <c r="C99" s="29"/>
      <c r="D99" s="29"/>
      <c r="E99" s="37"/>
      <c r="F99" s="37"/>
      <c r="G99" s="37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 ht="11.25" customHeight="1">
      <c r="A100" s="29"/>
      <c r="B100" s="37"/>
      <c r="C100" s="29"/>
      <c r="D100" s="29"/>
      <c r="E100" s="37"/>
      <c r="F100" s="37"/>
      <c r="G100" s="37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 ht="11.25" customHeight="1">
      <c r="A101" s="29"/>
      <c r="B101" s="37"/>
      <c r="C101" s="29"/>
      <c r="D101" s="29"/>
      <c r="E101" s="37"/>
      <c r="F101" s="37"/>
      <c r="G101" s="37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 ht="11.25" customHeight="1">
      <c r="A102" s="29"/>
      <c r="B102" s="37"/>
      <c r="C102" s="29"/>
      <c r="D102" s="29"/>
      <c r="E102" s="37"/>
      <c r="F102" s="37"/>
      <c r="G102" s="37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 ht="11.25" customHeight="1">
      <c r="A103" s="29"/>
      <c r="B103" s="37"/>
      <c r="C103" s="29"/>
      <c r="D103" s="29"/>
      <c r="E103" s="37"/>
      <c r="F103" s="37"/>
      <c r="G103" s="37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 ht="11.25" customHeight="1">
      <c r="A104" s="29"/>
      <c r="B104" s="37"/>
      <c r="C104" s="29"/>
      <c r="D104" s="29"/>
      <c r="E104" s="37"/>
      <c r="F104" s="37"/>
      <c r="G104" s="37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 ht="11.25" customHeight="1">
      <c r="A105" s="29"/>
      <c r="B105" s="37"/>
      <c r="C105" s="29"/>
      <c r="D105" s="29"/>
      <c r="E105" s="37"/>
      <c r="F105" s="37"/>
      <c r="G105" s="37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 ht="11.25" customHeight="1">
      <c r="A106" s="29"/>
      <c r="B106" s="37"/>
      <c r="C106" s="29"/>
      <c r="D106" s="29"/>
      <c r="E106" s="37"/>
      <c r="F106" s="37"/>
      <c r="G106" s="37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 ht="11.25" customHeight="1">
      <c r="A107" s="29"/>
      <c r="B107" s="37"/>
      <c r="C107" s="29"/>
      <c r="D107" s="29"/>
      <c r="E107" s="37"/>
      <c r="F107" s="37"/>
      <c r="G107" s="37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 ht="11.25" customHeight="1">
      <c r="A108" s="29"/>
      <c r="B108" s="37"/>
      <c r="C108" s="29"/>
      <c r="D108" s="29"/>
      <c r="E108" s="37"/>
      <c r="F108" s="37"/>
      <c r="G108" s="37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 ht="11.25" customHeight="1">
      <c r="A109" s="29"/>
      <c r="B109" s="37"/>
      <c r="C109" s="29"/>
      <c r="D109" s="29"/>
      <c r="E109" s="37"/>
      <c r="F109" s="37"/>
      <c r="G109" s="37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 ht="11.25" customHeight="1">
      <c r="A110" s="29"/>
      <c r="B110" s="37"/>
      <c r="C110" s="29"/>
      <c r="D110" s="29"/>
      <c r="E110" s="37"/>
      <c r="F110" s="37"/>
      <c r="G110" s="37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 ht="11.25" customHeight="1">
      <c r="A111" s="29"/>
      <c r="B111" s="37"/>
      <c r="C111" s="29"/>
      <c r="D111" s="29"/>
      <c r="E111" s="37"/>
      <c r="F111" s="37"/>
      <c r="G111" s="37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 ht="11.25" customHeight="1">
      <c r="A112" s="29"/>
      <c r="B112" s="37"/>
      <c r="C112" s="29"/>
      <c r="D112" s="29"/>
      <c r="E112" s="37"/>
      <c r="F112" s="37"/>
      <c r="G112" s="37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 ht="11.25" customHeight="1">
      <c r="A113" s="29"/>
      <c r="B113" s="37"/>
      <c r="C113" s="29"/>
      <c r="D113" s="29"/>
      <c r="E113" s="37"/>
      <c r="F113" s="37"/>
      <c r="G113" s="37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 ht="11.25" customHeight="1">
      <c r="A114" s="29"/>
      <c r="B114" s="37"/>
      <c r="C114" s="29"/>
      <c r="D114" s="29"/>
      <c r="E114" s="37"/>
      <c r="F114" s="37"/>
      <c r="G114" s="37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 ht="11.25" customHeight="1">
      <c r="A115" s="29"/>
      <c r="B115" s="37"/>
      <c r="C115" s="29"/>
      <c r="D115" s="29"/>
      <c r="E115" s="37"/>
      <c r="F115" s="37"/>
      <c r="G115" s="37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 ht="11.25" customHeight="1">
      <c r="A116" s="29"/>
      <c r="B116" s="37"/>
      <c r="C116" s="29"/>
      <c r="D116" s="29"/>
      <c r="E116" s="37"/>
      <c r="F116" s="37"/>
      <c r="G116" s="37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 ht="11.25" customHeight="1">
      <c r="A117" s="29"/>
      <c r="B117" s="37"/>
      <c r="C117" s="29"/>
      <c r="D117" s="29"/>
      <c r="E117" s="37"/>
      <c r="F117" s="37"/>
      <c r="G117" s="37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 ht="11.25" customHeight="1">
      <c r="A118" s="29"/>
      <c r="B118" s="37"/>
      <c r="C118" s="29"/>
      <c r="D118" s="29"/>
      <c r="E118" s="37"/>
      <c r="F118" s="37"/>
      <c r="G118" s="37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 ht="11.25" customHeight="1">
      <c r="A119" s="29"/>
      <c r="B119" s="37"/>
      <c r="C119" s="29"/>
      <c r="D119" s="29"/>
      <c r="E119" s="37"/>
      <c r="F119" s="37"/>
      <c r="G119" s="37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 ht="11.25" customHeight="1">
      <c r="A120" s="29"/>
      <c r="B120" s="37"/>
      <c r="C120" s="29"/>
      <c r="D120" s="29"/>
      <c r="E120" s="37"/>
      <c r="F120" s="37"/>
      <c r="G120" s="37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 ht="11.25" customHeight="1">
      <c r="A121" s="29"/>
      <c r="B121" s="37"/>
      <c r="C121" s="29"/>
      <c r="D121" s="29"/>
      <c r="E121" s="37"/>
      <c r="F121" s="37"/>
      <c r="G121" s="37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 ht="11.25" customHeight="1">
      <c r="A122" s="29"/>
      <c r="B122" s="37"/>
      <c r="C122" s="29"/>
      <c r="D122" s="29"/>
      <c r="E122" s="37"/>
      <c r="F122" s="37"/>
      <c r="G122" s="37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 ht="11.25" customHeight="1">
      <c r="A123" s="29"/>
      <c r="B123" s="37"/>
      <c r="C123" s="29"/>
      <c r="D123" s="29"/>
      <c r="E123" s="37"/>
      <c r="F123" s="37"/>
      <c r="G123" s="37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 ht="11.25" customHeight="1">
      <c r="A124" s="29"/>
      <c r="B124" s="37"/>
      <c r="C124" s="29"/>
      <c r="D124" s="29"/>
      <c r="E124" s="37"/>
      <c r="F124" s="37"/>
      <c r="G124" s="37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 ht="11.25" customHeight="1">
      <c r="A125" s="29"/>
      <c r="B125" s="37"/>
      <c r="C125" s="29"/>
      <c r="D125" s="29"/>
      <c r="E125" s="37"/>
      <c r="F125" s="37"/>
      <c r="G125" s="37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 ht="11.25" customHeight="1">
      <c r="A126" s="29"/>
      <c r="B126" s="37"/>
      <c r="C126" s="29"/>
      <c r="D126" s="29"/>
      <c r="E126" s="37"/>
      <c r="F126" s="37"/>
      <c r="G126" s="37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 ht="11.25" customHeight="1">
      <c r="A127" s="29"/>
      <c r="B127" s="37"/>
      <c r="C127" s="29"/>
      <c r="D127" s="29"/>
      <c r="E127" s="37"/>
      <c r="F127" s="37"/>
      <c r="G127" s="37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 ht="11.25" customHeight="1">
      <c r="A128" s="29"/>
      <c r="B128" s="37"/>
      <c r="C128" s="29"/>
      <c r="D128" s="29"/>
      <c r="E128" s="37"/>
      <c r="F128" s="37"/>
      <c r="G128" s="37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 ht="11.25" customHeight="1">
      <c r="A129" s="29"/>
      <c r="B129" s="37"/>
      <c r="C129" s="29"/>
      <c r="D129" s="29"/>
      <c r="E129" s="37"/>
      <c r="F129" s="37"/>
      <c r="G129" s="37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 ht="11.25" customHeight="1">
      <c r="A130" s="29"/>
      <c r="B130" s="37"/>
      <c r="C130" s="29"/>
      <c r="D130" s="29"/>
      <c r="E130" s="37"/>
      <c r="F130" s="37"/>
      <c r="G130" s="37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 ht="11.25" customHeight="1">
      <c r="A131" s="29"/>
      <c r="B131" s="37"/>
      <c r="C131" s="29"/>
      <c r="D131" s="29"/>
      <c r="E131" s="37"/>
      <c r="F131" s="37"/>
      <c r="G131" s="37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 ht="11.25" customHeight="1">
      <c r="A132" s="29"/>
      <c r="B132" s="37"/>
      <c r="C132" s="29"/>
      <c r="D132" s="29"/>
      <c r="E132" s="37"/>
      <c r="F132" s="37"/>
      <c r="G132" s="37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 ht="11.25" customHeight="1">
      <c r="A133" s="29"/>
      <c r="B133" s="37"/>
      <c r="C133" s="29"/>
      <c r="D133" s="29"/>
      <c r="E133" s="37"/>
      <c r="F133" s="37"/>
      <c r="G133" s="37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 ht="11.25" customHeight="1">
      <c r="A134" s="29"/>
      <c r="B134" s="37"/>
      <c r="C134" s="29"/>
      <c r="D134" s="29"/>
      <c r="E134" s="37"/>
      <c r="F134" s="37"/>
      <c r="G134" s="37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 ht="11.25" customHeight="1">
      <c r="A135" s="29"/>
      <c r="B135" s="37"/>
      <c r="C135" s="29"/>
      <c r="D135" s="29"/>
      <c r="E135" s="37"/>
      <c r="F135" s="37"/>
      <c r="G135" s="37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 ht="11.25" customHeight="1">
      <c r="A136" s="29"/>
      <c r="B136" s="37"/>
      <c r="C136" s="29"/>
      <c r="D136" s="29"/>
      <c r="E136" s="37"/>
      <c r="F136" s="37"/>
      <c r="G136" s="37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 ht="11.25" customHeight="1">
      <c r="A137" s="29"/>
      <c r="B137" s="37"/>
      <c r="C137" s="29"/>
      <c r="D137" s="29"/>
      <c r="E137" s="37"/>
      <c r="F137" s="37"/>
      <c r="G137" s="37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 ht="11.25" customHeight="1">
      <c r="A138" s="29"/>
      <c r="B138" s="37"/>
      <c r="C138" s="29"/>
      <c r="D138" s="29"/>
      <c r="E138" s="37"/>
      <c r="F138" s="37"/>
      <c r="G138" s="37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 ht="11.25" customHeight="1">
      <c r="A139" s="29"/>
      <c r="B139" s="37"/>
      <c r="C139" s="29"/>
      <c r="D139" s="29"/>
      <c r="E139" s="37"/>
      <c r="F139" s="37"/>
      <c r="G139" s="37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 ht="11.25" customHeight="1">
      <c r="A140" s="29"/>
      <c r="B140" s="37"/>
      <c r="C140" s="29"/>
      <c r="D140" s="29"/>
      <c r="E140" s="37"/>
      <c r="F140" s="37"/>
      <c r="G140" s="37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 ht="11.25" customHeight="1">
      <c r="A141" s="29"/>
      <c r="B141" s="37"/>
      <c r="C141" s="29"/>
      <c r="D141" s="29"/>
      <c r="E141" s="37"/>
      <c r="F141" s="37"/>
      <c r="G141" s="37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 ht="11.25" customHeight="1">
      <c r="A142" s="29"/>
      <c r="B142" s="37"/>
      <c r="C142" s="29"/>
      <c r="D142" s="29"/>
      <c r="E142" s="37"/>
      <c r="F142" s="37"/>
      <c r="G142" s="37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 ht="11.25" customHeight="1">
      <c r="A143" s="29"/>
      <c r="B143" s="37"/>
      <c r="C143" s="29"/>
      <c r="D143" s="29"/>
      <c r="E143" s="37"/>
      <c r="F143" s="37"/>
      <c r="G143" s="37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 ht="11.25" customHeight="1">
      <c r="A144" s="29"/>
      <c r="B144" s="37"/>
      <c r="C144" s="29"/>
      <c r="D144" s="29"/>
      <c r="E144" s="37"/>
      <c r="F144" s="37"/>
      <c r="G144" s="37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 ht="11.25" customHeight="1">
      <c r="A145" s="29"/>
      <c r="B145" s="37"/>
      <c r="C145" s="29"/>
      <c r="D145" s="29"/>
      <c r="E145" s="37"/>
      <c r="F145" s="37"/>
      <c r="G145" s="37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 ht="11.25" customHeight="1">
      <c r="A146" s="29"/>
      <c r="B146" s="37"/>
      <c r="C146" s="29"/>
      <c r="D146" s="29"/>
      <c r="E146" s="37"/>
      <c r="F146" s="37"/>
      <c r="G146" s="37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 ht="11.25" customHeight="1">
      <c r="A147" s="29"/>
      <c r="B147" s="37"/>
      <c r="C147" s="29"/>
      <c r="D147" s="29"/>
      <c r="E147" s="37"/>
      <c r="F147" s="37"/>
      <c r="G147" s="37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 ht="11.25" customHeight="1">
      <c r="A148" s="29"/>
      <c r="B148" s="37"/>
      <c r="C148" s="29"/>
      <c r="D148" s="29"/>
      <c r="E148" s="37"/>
      <c r="F148" s="37"/>
      <c r="G148" s="37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 ht="11.25" customHeight="1">
      <c r="A149" s="29"/>
      <c r="B149" s="37"/>
      <c r="C149" s="29"/>
      <c r="D149" s="29"/>
      <c r="E149" s="37"/>
      <c r="F149" s="37"/>
      <c r="G149" s="37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 ht="11.25" customHeight="1">
      <c r="A150" s="29"/>
      <c r="B150" s="37"/>
      <c r="C150" s="29"/>
      <c r="D150" s="29"/>
      <c r="E150" s="37"/>
      <c r="F150" s="37"/>
      <c r="G150" s="37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 ht="11.25" customHeight="1">
      <c r="A151" s="29"/>
      <c r="B151" s="37"/>
      <c r="C151" s="29"/>
      <c r="D151" s="29"/>
      <c r="E151" s="37"/>
      <c r="F151" s="37"/>
      <c r="G151" s="37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 ht="11.25" customHeight="1">
      <c r="A152" s="29"/>
      <c r="B152" s="37"/>
      <c r="C152" s="29"/>
      <c r="D152" s="29"/>
      <c r="E152" s="37"/>
      <c r="F152" s="37"/>
      <c r="G152" s="37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 ht="11.25" customHeight="1">
      <c r="A153" s="29"/>
      <c r="B153" s="37"/>
      <c r="C153" s="29"/>
      <c r="D153" s="29"/>
      <c r="E153" s="37"/>
      <c r="F153" s="37"/>
      <c r="G153" s="37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 ht="11.25" customHeight="1">
      <c r="A154" s="29"/>
      <c r="B154" s="37"/>
      <c r="C154" s="29"/>
      <c r="D154" s="29"/>
      <c r="E154" s="37"/>
      <c r="F154" s="37"/>
      <c r="G154" s="37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 ht="11.25" customHeight="1">
      <c r="A155" s="29"/>
      <c r="B155" s="37"/>
      <c r="C155" s="29"/>
      <c r="D155" s="29"/>
      <c r="E155" s="37"/>
      <c r="F155" s="37"/>
      <c r="G155" s="37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 ht="11.25" customHeight="1">
      <c r="A156" s="29"/>
      <c r="B156" s="37"/>
      <c r="C156" s="29"/>
      <c r="D156" s="29"/>
      <c r="E156" s="37"/>
      <c r="F156" s="37"/>
      <c r="G156" s="37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 ht="11.25" customHeight="1">
      <c r="A157" s="29"/>
      <c r="B157" s="37"/>
      <c r="C157" s="29"/>
      <c r="D157" s="29"/>
      <c r="E157" s="37"/>
      <c r="F157" s="37"/>
      <c r="G157" s="37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 ht="11.25" customHeight="1">
      <c r="A158" s="29"/>
      <c r="B158" s="37"/>
      <c r="C158" s="29"/>
      <c r="D158" s="29"/>
      <c r="E158" s="37"/>
      <c r="F158" s="37"/>
      <c r="G158" s="37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 ht="11.25" customHeight="1">
      <c r="A159" s="29"/>
      <c r="B159" s="37"/>
      <c r="C159" s="29"/>
      <c r="D159" s="29"/>
      <c r="E159" s="37"/>
      <c r="F159" s="37"/>
      <c r="G159" s="37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 ht="11.25" customHeight="1">
      <c r="A160" s="29"/>
      <c r="B160" s="37"/>
      <c r="C160" s="29"/>
      <c r="D160" s="29"/>
      <c r="E160" s="37"/>
      <c r="F160" s="37"/>
      <c r="G160" s="37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 ht="11.25" customHeight="1">
      <c r="A161" s="29"/>
      <c r="B161" s="37"/>
      <c r="C161" s="29"/>
      <c r="D161" s="29"/>
      <c r="E161" s="37"/>
      <c r="F161" s="37"/>
      <c r="G161" s="37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 ht="11.25" customHeight="1">
      <c r="A162" s="29"/>
      <c r="B162" s="37"/>
      <c r="C162" s="29"/>
      <c r="D162" s="29"/>
      <c r="E162" s="37"/>
      <c r="F162" s="37"/>
      <c r="G162" s="37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 ht="11.25" customHeight="1">
      <c r="A163" s="29"/>
      <c r="B163" s="37"/>
      <c r="C163" s="29"/>
      <c r="D163" s="29"/>
      <c r="E163" s="37"/>
      <c r="F163" s="37"/>
      <c r="G163" s="37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 ht="11.25" customHeight="1">
      <c r="A164" s="29"/>
      <c r="B164" s="37"/>
      <c r="C164" s="29"/>
      <c r="D164" s="29"/>
      <c r="E164" s="37"/>
      <c r="F164" s="37"/>
      <c r="G164" s="37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 ht="11.25" customHeight="1">
      <c r="A165" s="29"/>
      <c r="B165" s="37"/>
      <c r="C165" s="29"/>
      <c r="D165" s="29"/>
      <c r="E165" s="37"/>
      <c r="F165" s="37"/>
      <c r="G165" s="37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 ht="11.25" customHeight="1">
      <c r="A166" s="29"/>
      <c r="B166" s="37"/>
      <c r="C166" s="29"/>
      <c r="D166" s="29"/>
      <c r="E166" s="37"/>
      <c r="F166" s="37"/>
      <c r="G166" s="37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 ht="11.25" customHeight="1">
      <c r="A167" s="29"/>
      <c r="B167" s="37"/>
      <c r="C167" s="29"/>
      <c r="D167" s="29"/>
      <c r="E167" s="37"/>
      <c r="F167" s="37"/>
      <c r="G167" s="37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 ht="11.25" customHeight="1">
      <c r="A168" s="29"/>
      <c r="B168" s="37"/>
      <c r="C168" s="29"/>
      <c r="D168" s="29"/>
      <c r="E168" s="37"/>
      <c r="F168" s="37"/>
      <c r="G168" s="37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 ht="11.25" customHeight="1">
      <c r="A169" s="29"/>
      <c r="B169" s="37"/>
      <c r="C169" s="29"/>
      <c r="D169" s="29"/>
      <c r="E169" s="37"/>
      <c r="F169" s="37"/>
      <c r="G169" s="37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 ht="11.25" customHeight="1">
      <c r="A170" s="29"/>
      <c r="B170" s="37"/>
      <c r="C170" s="29"/>
      <c r="D170" s="29"/>
      <c r="E170" s="37"/>
      <c r="F170" s="37"/>
      <c r="G170" s="37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 ht="11.25" customHeight="1">
      <c r="A171" s="29"/>
      <c r="B171" s="37"/>
      <c r="C171" s="29"/>
      <c r="D171" s="29"/>
      <c r="E171" s="37"/>
      <c r="F171" s="37"/>
      <c r="G171" s="37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 ht="11.25" customHeight="1">
      <c r="A172" s="29"/>
      <c r="B172" s="37"/>
      <c r="C172" s="29"/>
      <c r="D172" s="29"/>
      <c r="E172" s="37"/>
      <c r="F172" s="37"/>
      <c r="G172" s="37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 ht="11.25" customHeight="1">
      <c r="A173" s="29"/>
      <c r="B173" s="37"/>
      <c r="C173" s="29"/>
      <c r="D173" s="29"/>
      <c r="E173" s="37"/>
      <c r="F173" s="37"/>
      <c r="G173" s="37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 ht="11.25" customHeight="1">
      <c r="A174" s="29"/>
      <c r="B174" s="37"/>
      <c r="C174" s="29"/>
      <c r="D174" s="29"/>
      <c r="E174" s="37"/>
      <c r="F174" s="37"/>
      <c r="G174" s="37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 ht="11.25" customHeight="1">
      <c r="A175" s="29"/>
      <c r="B175" s="37"/>
      <c r="C175" s="29"/>
      <c r="D175" s="29"/>
      <c r="E175" s="37"/>
      <c r="F175" s="37"/>
      <c r="G175" s="37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 ht="11.25" customHeight="1">
      <c r="A176" s="29"/>
      <c r="B176" s="37"/>
      <c r="C176" s="29"/>
      <c r="D176" s="29"/>
      <c r="E176" s="37"/>
      <c r="F176" s="37"/>
      <c r="G176" s="37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 ht="11.25" customHeight="1">
      <c r="A177" s="29"/>
      <c r="B177" s="37"/>
      <c r="C177" s="29"/>
      <c r="D177" s="29"/>
      <c r="E177" s="37"/>
      <c r="F177" s="37"/>
      <c r="G177" s="37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 ht="11.25" customHeight="1">
      <c r="A178" s="29"/>
      <c r="B178" s="37"/>
      <c r="C178" s="29"/>
      <c r="D178" s="29"/>
      <c r="E178" s="37"/>
      <c r="F178" s="37"/>
      <c r="G178" s="37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 ht="11.25" customHeight="1">
      <c r="A179" s="29"/>
      <c r="B179" s="37"/>
      <c r="C179" s="29"/>
      <c r="D179" s="29"/>
      <c r="E179" s="37"/>
      <c r="F179" s="37"/>
      <c r="G179" s="37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 ht="11.25" customHeight="1">
      <c r="A180" s="29"/>
      <c r="B180" s="37"/>
      <c r="C180" s="29"/>
      <c r="D180" s="29"/>
      <c r="E180" s="37"/>
      <c r="F180" s="37"/>
      <c r="G180" s="37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 ht="11.25" customHeight="1">
      <c r="A181" s="29"/>
      <c r="B181" s="37"/>
      <c r="C181" s="29"/>
      <c r="D181" s="29"/>
      <c r="E181" s="37"/>
      <c r="F181" s="37"/>
      <c r="G181" s="37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 ht="11.25" customHeight="1">
      <c r="A182" s="29"/>
      <c r="B182" s="37"/>
      <c r="C182" s="29"/>
      <c r="D182" s="29"/>
      <c r="E182" s="37"/>
      <c r="F182" s="37"/>
      <c r="G182" s="37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 ht="11.25" customHeight="1">
      <c r="A183" s="29"/>
      <c r="B183" s="37"/>
      <c r="C183" s="29"/>
      <c r="D183" s="29"/>
      <c r="E183" s="37"/>
      <c r="F183" s="37"/>
      <c r="G183" s="37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 ht="11.25" customHeight="1">
      <c r="A184" s="29"/>
      <c r="B184" s="37"/>
      <c r="C184" s="29"/>
      <c r="D184" s="29"/>
      <c r="E184" s="37"/>
      <c r="F184" s="37"/>
      <c r="G184" s="37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 ht="11.25" customHeight="1">
      <c r="A185" s="29"/>
      <c r="B185" s="37"/>
      <c r="C185" s="29"/>
      <c r="D185" s="29"/>
      <c r="E185" s="37"/>
      <c r="F185" s="37"/>
      <c r="G185" s="37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 ht="11.25" customHeight="1">
      <c r="A186" s="29"/>
      <c r="B186" s="37"/>
      <c r="C186" s="29"/>
      <c r="D186" s="29"/>
      <c r="E186" s="37"/>
      <c r="F186" s="37"/>
      <c r="G186" s="37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 ht="11.25" customHeight="1">
      <c r="A187" s="29"/>
      <c r="B187" s="37"/>
      <c r="C187" s="29"/>
      <c r="D187" s="29"/>
      <c r="E187" s="37"/>
      <c r="F187" s="37"/>
      <c r="G187" s="37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 ht="11.25" customHeight="1">
      <c r="A188" s="29"/>
      <c r="B188" s="37"/>
      <c r="C188" s="29"/>
      <c r="D188" s="29"/>
      <c r="E188" s="37"/>
      <c r="F188" s="37"/>
      <c r="G188" s="37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 ht="11.25" customHeight="1">
      <c r="A189" s="29"/>
      <c r="B189" s="37"/>
      <c r="C189" s="29"/>
      <c r="D189" s="29"/>
      <c r="E189" s="37"/>
      <c r="F189" s="37"/>
      <c r="G189" s="37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 ht="11.25" customHeight="1">
      <c r="A190" s="29"/>
      <c r="B190" s="37"/>
      <c r="C190" s="29"/>
      <c r="D190" s="29"/>
      <c r="E190" s="37"/>
      <c r="F190" s="37"/>
      <c r="G190" s="37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 ht="11.25" customHeight="1">
      <c r="A191" s="29"/>
      <c r="B191" s="37"/>
      <c r="C191" s="29"/>
      <c r="D191" s="29"/>
      <c r="E191" s="37"/>
      <c r="F191" s="37"/>
      <c r="G191" s="37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 ht="11.25" customHeight="1">
      <c r="A192" s="29"/>
      <c r="B192" s="37"/>
      <c r="C192" s="29"/>
      <c r="D192" s="29"/>
      <c r="E192" s="37"/>
      <c r="F192" s="37"/>
      <c r="G192" s="37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 ht="11.25" customHeight="1">
      <c r="A193" s="29"/>
      <c r="B193" s="37"/>
      <c r="C193" s="29"/>
      <c r="D193" s="29"/>
      <c r="E193" s="37"/>
      <c r="F193" s="37"/>
      <c r="G193" s="37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 ht="11.25" customHeight="1">
      <c r="A194" s="29"/>
      <c r="B194" s="37"/>
      <c r="C194" s="29"/>
      <c r="D194" s="29"/>
      <c r="E194" s="37"/>
      <c r="F194" s="37"/>
      <c r="G194" s="37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 ht="11.25" customHeight="1">
      <c r="A195" s="29"/>
      <c r="B195" s="37"/>
      <c r="C195" s="29"/>
      <c r="D195" s="29"/>
      <c r="E195" s="37"/>
      <c r="F195" s="37"/>
      <c r="G195" s="37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 ht="11.25" customHeight="1">
      <c r="A196" s="29"/>
      <c r="B196" s="37"/>
      <c r="C196" s="29"/>
      <c r="D196" s="29"/>
      <c r="E196" s="37"/>
      <c r="F196" s="37"/>
      <c r="G196" s="37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 ht="11.25" customHeight="1">
      <c r="A197" s="29"/>
      <c r="B197" s="37"/>
      <c r="C197" s="29"/>
      <c r="D197" s="29"/>
      <c r="E197" s="37"/>
      <c r="F197" s="37"/>
      <c r="G197" s="37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 ht="11.25" customHeight="1">
      <c r="A198" s="29"/>
      <c r="B198" s="37"/>
      <c r="C198" s="29"/>
      <c r="D198" s="29"/>
      <c r="E198" s="37"/>
      <c r="F198" s="37"/>
      <c r="G198" s="37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 ht="11.25" customHeight="1">
      <c r="A199" s="29"/>
      <c r="B199" s="37"/>
      <c r="C199" s="29"/>
      <c r="D199" s="29"/>
      <c r="E199" s="37"/>
      <c r="F199" s="37"/>
      <c r="G199" s="37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 ht="11.25" customHeight="1">
      <c r="A200" s="29"/>
      <c r="B200" s="37"/>
      <c r="C200" s="29"/>
      <c r="D200" s="29"/>
      <c r="E200" s="37"/>
      <c r="F200" s="37"/>
      <c r="G200" s="37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 ht="11.25" customHeight="1">
      <c r="A201" s="29"/>
      <c r="B201" s="37"/>
      <c r="C201" s="29"/>
      <c r="D201" s="29"/>
      <c r="E201" s="37"/>
      <c r="F201" s="37"/>
      <c r="G201" s="37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 ht="11.25" customHeight="1">
      <c r="A202" s="29"/>
      <c r="B202" s="37"/>
      <c r="C202" s="29"/>
      <c r="D202" s="29"/>
      <c r="E202" s="37"/>
      <c r="F202" s="37"/>
      <c r="G202" s="37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 ht="11.25" customHeight="1">
      <c r="A203" s="29"/>
      <c r="B203" s="37"/>
      <c r="C203" s="29"/>
      <c r="D203" s="29"/>
      <c r="E203" s="37"/>
      <c r="F203" s="37"/>
      <c r="G203" s="37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 ht="11.25" customHeight="1">
      <c r="A204" s="29"/>
      <c r="B204" s="37"/>
      <c r="C204" s="29"/>
      <c r="D204" s="29"/>
      <c r="E204" s="37"/>
      <c r="F204" s="37"/>
      <c r="G204" s="37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 ht="11.25" customHeight="1">
      <c r="A205" s="29"/>
      <c r="B205" s="37"/>
      <c r="C205" s="29"/>
      <c r="D205" s="29"/>
      <c r="E205" s="37"/>
      <c r="F205" s="37"/>
      <c r="G205" s="37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 ht="11.25" customHeight="1">
      <c r="A206" s="29"/>
      <c r="B206" s="37"/>
      <c r="C206" s="29"/>
      <c r="D206" s="29"/>
      <c r="E206" s="37"/>
      <c r="F206" s="37"/>
      <c r="G206" s="37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 ht="11.25" customHeight="1">
      <c r="A207" s="29"/>
      <c r="B207" s="37"/>
      <c r="C207" s="29"/>
      <c r="D207" s="29"/>
      <c r="E207" s="37"/>
      <c r="F207" s="37"/>
      <c r="G207" s="37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 ht="11.25" customHeight="1">
      <c r="A208" s="29"/>
      <c r="B208" s="37"/>
      <c r="C208" s="29"/>
      <c r="D208" s="29"/>
      <c r="E208" s="37"/>
      <c r="F208" s="37"/>
      <c r="G208" s="37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 ht="11.25" customHeight="1">
      <c r="A209" s="29"/>
      <c r="B209" s="37"/>
      <c r="C209" s="29"/>
      <c r="D209" s="29"/>
      <c r="E209" s="37"/>
      <c r="F209" s="37"/>
      <c r="G209" s="37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 ht="11.25" customHeight="1">
      <c r="A210" s="29"/>
      <c r="B210" s="37"/>
      <c r="C210" s="29"/>
      <c r="D210" s="29"/>
      <c r="E210" s="37"/>
      <c r="F210" s="37"/>
      <c r="G210" s="37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 ht="11.25" customHeight="1">
      <c r="A211" s="29"/>
      <c r="B211" s="37"/>
      <c r="C211" s="29"/>
      <c r="D211" s="29"/>
      <c r="E211" s="37"/>
      <c r="F211" s="37"/>
      <c r="G211" s="37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 ht="11.25" customHeight="1">
      <c r="A212" s="29"/>
      <c r="B212" s="37"/>
      <c r="C212" s="29"/>
      <c r="D212" s="29"/>
      <c r="E212" s="37"/>
      <c r="F212" s="37"/>
      <c r="G212" s="37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 ht="11.25" customHeight="1">
      <c r="A213" s="29"/>
      <c r="B213" s="37"/>
      <c r="C213" s="29"/>
      <c r="D213" s="29"/>
      <c r="E213" s="37"/>
      <c r="F213" s="37"/>
      <c r="G213" s="37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 ht="11.25" customHeight="1">
      <c r="A214" s="29"/>
      <c r="B214" s="37"/>
      <c r="C214" s="29"/>
      <c r="D214" s="29"/>
      <c r="E214" s="37"/>
      <c r="F214" s="37"/>
      <c r="G214" s="37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 ht="11.25" customHeight="1">
      <c r="A215" s="29"/>
      <c r="B215" s="37"/>
      <c r="C215" s="29"/>
      <c r="D215" s="29"/>
      <c r="E215" s="37"/>
      <c r="F215" s="37"/>
      <c r="G215" s="37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 ht="11.25" customHeight="1">
      <c r="A216" s="29"/>
      <c r="B216" s="37"/>
      <c r="C216" s="29"/>
      <c r="D216" s="29"/>
      <c r="E216" s="37"/>
      <c r="F216" s="37"/>
      <c r="G216" s="37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 ht="11.25" customHeight="1">
      <c r="A217" s="29"/>
      <c r="B217" s="37"/>
      <c r="C217" s="29"/>
      <c r="D217" s="29"/>
      <c r="E217" s="37"/>
      <c r="F217" s="37"/>
      <c r="G217" s="37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 ht="11.25" customHeight="1">
      <c r="A218" s="29"/>
      <c r="B218" s="37"/>
      <c r="C218" s="29"/>
      <c r="D218" s="29"/>
      <c r="E218" s="37"/>
      <c r="F218" s="37"/>
      <c r="G218" s="37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 ht="11.25" customHeight="1">
      <c r="A219" s="29"/>
      <c r="B219" s="37"/>
      <c r="C219" s="29"/>
      <c r="D219" s="29"/>
      <c r="E219" s="37"/>
      <c r="F219" s="37"/>
      <c r="G219" s="37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 ht="11.25" customHeight="1">
      <c r="A220" s="29"/>
      <c r="B220" s="37"/>
      <c r="C220" s="29"/>
      <c r="D220" s="29"/>
      <c r="E220" s="37"/>
      <c r="F220" s="37"/>
      <c r="G220" s="37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 ht="11.25" customHeight="1">
      <c r="A221" s="29"/>
      <c r="B221" s="37"/>
      <c r="C221" s="29"/>
      <c r="D221" s="29"/>
      <c r="E221" s="37"/>
      <c r="F221" s="37"/>
      <c r="G221" s="37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 ht="11.25" customHeight="1">
      <c r="A222" s="29"/>
      <c r="B222" s="37"/>
      <c r="C222" s="29"/>
      <c r="D222" s="29"/>
      <c r="E222" s="37"/>
      <c r="F222" s="37"/>
      <c r="G222" s="37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 ht="11.25" customHeight="1">
      <c r="A223" s="29"/>
      <c r="B223" s="37"/>
      <c r="C223" s="29"/>
      <c r="D223" s="29"/>
      <c r="E223" s="37"/>
      <c r="F223" s="37"/>
      <c r="G223" s="37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 ht="11.25" customHeight="1">
      <c r="A224" s="29"/>
      <c r="B224" s="37"/>
      <c r="C224" s="29"/>
      <c r="D224" s="29"/>
      <c r="E224" s="37"/>
      <c r="F224" s="37"/>
      <c r="G224" s="37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 ht="11.25" customHeight="1">
      <c r="A225" s="29"/>
      <c r="B225" s="37"/>
      <c r="C225" s="29"/>
      <c r="D225" s="29"/>
      <c r="E225" s="37"/>
      <c r="F225" s="37"/>
      <c r="G225" s="37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 ht="11.25" customHeight="1">
      <c r="A226" s="29"/>
      <c r="B226" s="37"/>
      <c r="C226" s="29"/>
      <c r="D226" s="29"/>
      <c r="E226" s="37"/>
      <c r="F226" s="37"/>
      <c r="G226" s="37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 ht="11.25" customHeight="1">
      <c r="A227" s="29"/>
      <c r="B227" s="37"/>
      <c r="C227" s="29"/>
      <c r="D227" s="29"/>
      <c r="E227" s="37"/>
      <c r="F227" s="37"/>
      <c r="G227" s="37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 ht="11.25" customHeight="1">
      <c r="A228" s="29"/>
      <c r="B228" s="37"/>
      <c r="C228" s="29"/>
      <c r="D228" s="29"/>
      <c r="E228" s="37"/>
      <c r="F228" s="37"/>
      <c r="G228" s="37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 ht="11.25" customHeight="1">
      <c r="A229" s="29"/>
      <c r="B229" s="37"/>
      <c r="C229" s="29"/>
      <c r="D229" s="29"/>
      <c r="E229" s="37"/>
      <c r="F229" s="37"/>
      <c r="G229" s="37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 ht="11.25" customHeight="1">
      <c r="A230" s="29"/>
      <c r="B230" s="37"/>
      <c r="C230" s="29"/>
      <c r="D230" s="29"/>
      <c r="E230" s="37"/>
      <c r="F230" s="37"/>
      <c r="G230" s="37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 ht="11.25" customHeight="1">
      <c r="A231" s="29"/>
      <c r="B231" s="37"/>
      <c r="C231" s="29"/>
      <c r="D231" s="29"/>
      <c r="E231" s="37"/>
      <c r="F231" s="37"/>
      <c r="G231" s="37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 ht="11.25" customHeight="1">
      <c r="A232" s="29"/>
      <c r="B232" s="37"/>
      <c r="C232" s="29"/>
      <c r="D232" s="29"/>
      <c r="E232" s="37"/>
      <c r="F232" s="37"/>
      <c r="G232" s="37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 ht="11.25" customHeight="1">
      <c r="A233" s="29"/>
      <c r="B233" s="37"/>
      <c r="C233" s="29"/>
      <c r="D233" s="29"/>
      <c r="E233" s="37"/>
      <c r="F233" s="37"/>
      <c r="G233" s="37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 ht="11.25" customHeight="1">
      <c r="A234" s="29"/>
      <c r="B234" s="37"/>
      <c r="C234" s="29"/>
      <c r="D234" s="29"/>
      <c r="E234" s="37"/>
      <c r="F234" s="37"/>
      <c r="G234" s="37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 ht="11.25" customHeight="1">
      <c r="A235" s="29"/>
      <c r="B235" s="37"/>
      <c r="C235" s="29"/>
      <c r="D235" s="29"/>
      <c r="E235" s="37"/>
      <c r="F235" s="37"/>
      <c r="G235" s="37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 ht="11.25" customHeight="1">
      <c r="A236" s="29"/>
      <c r="B236" s="37"/>
      <c r="C236" s="29"/>
      <c r="D236" s="29"/>
      <c r="E236" s="37"/>
      <c r="F236" s="37"/>
      <c r="G236" s="37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 ht="11.25" customHeight="1">
      <c r="A237" s="29"/>
      <c r="B237" s="37"/>
      <c r="C237" s="29"/>
      <c r="D237" s="29"/>
      <c r="E237" s="37"/>
      <c r="F237" s="37"/>
      <c r="G237" s="37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 ht="11.25" customHeight="1">
      <c r="A238" s="29"/>
      <c r="B238" s="37"/>
      <c r="C238" s="29"/>
      <c r="D238" s="29"/>
      <c r="E238" s="37"/>
      <c r="F238" s="37"/>
      <c r="G238" s="37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 ht="11.25" customHeight="1">
      <c r="A239" s="29"/>
      <c r="B239" s="37"/>
      <c r="C239" s="29"/>
      <c r="D239" s="29"/>
      <c r="E239" s="37"/>
      <c r="F239" s="37"/>
      <c r="G239" s="37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 ht="11.25" customHeight="1">
      <c r="A240" s="29"/>
      <c r="B240" s="37"/>
      <c r="C240" s="29"/>
      <c r="D240" s="29"/>
      <c r="E240" s="37"/>
      <c r="F240" s="37"/>
      <c r="G240" s="37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 ht="11.25" customHeight="1">
      <c r="A241" s="29"/>
      <c r="B241" s="37"/>
      <c r="C241" s="29"/>
      <c r="D241" s="29"/>
      <c r="E241" s="37"/>
      <c r="F241" s="37"/>
      <c r="G241" s="37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 ht="11.25" customHeight="1">
      <c r="A242" s="29"/>
      <c r="B242" s="37"/>
      <c r="C242" s="29"/>
      <c r="D242" s="29"/>
      <c r="E242" s="37"/>
      <c r="F242" s="37"/>
      <c r="G242" s="37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 ht="11.25" customHeight="1">
      <c r="A243" s="29"/>
      <c r="B243" s="37"/>
      <c r="C243" s="29"/>
      <c r="D243" s="29"/>
      <c r="E243" s="37"/>
      <c r="F243" s="37"/>
      <c r="G243" s="37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 ht="11.25" customHeight="1">
      <c r="A244" s="29"/>
      <c r="B244" s="37"/>
      <c r="C244" s="29"/>
      <c r="D244" s="29"/>
      <c r="E244" s="37"/>
      <c r="F244" s="37"/>
      <c r="G244" s="37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 ht="11.25" customHeight="1">
      <c r="A245" s="29"/>
      <c r="B245" s="37"/>
      <c r="C245" s="29"/>
      <c r="D245" s="29"/>
      <c r="E245" s="37"/>
      <c r="F245" s="37"/>
      <c r="G245" s="37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 ht="11.25" customHeight="1">
      <c r="A246" s="29"/>
      <c r="B246" s="37"/>
      <c r="C246" s="29"/>
      <c r="D246" s="29"/>
      <c r="E246" s="37"/>
      <c r="F246" s="37"/>
      <c r="G246" s="37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 ht="11.25" customHeight="1">
      <c r="A247" s="29"/>
      <c r="B247" s="37"/>
      <c r="C247" s="29"/>
      <c r="D247" s="29"/>
      <c r="E247" s="37"/>
      <c r="F247" s="37"/>
      <c r="G247" s="37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 ht="11.25" customHeight="1">
      <c r="A248" s="29"/>
      <c r="B248" s="37"/>
      <c r="C248" s="29"/>
      <c r="D248" s="29"/>
      <c r="E248" s="37"/>
      <c r="F248" s="37"/>
      <c r="G248" s="37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 ht="11.25" customHeight="1">
      <c r="A249" s="29"/>
      <c r="B249" s="37"/>
      <c r="C249" s="29"/>
      <c r="D249" s="29"/>
      <c r="E249" s="37"/>
      <c r="F249" s="37"/>
      <c r="G249" s="37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 ht="11.25" customHeight="1">
      <c r="A250" s="29"/>
      <c r="B250" s="37"/>
      <c r="C250" s="29"/>
      <c r="D250" s="29"/>
      <c r="E250" s="37"/>
      <c r="F250" s="37"/>
      <c r="G250" s="37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 ht="11.25" customHeight="1">
      <c r="A251" s="29"/>
      <c r="B251" s="37"/>
      <c r="C251" s="29"/>
      <c r="D251" s="29"/>
      <c r="E251" s="37"/>
      <c r="F251" s="37"/>
      <c r="G251" s="37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 ht="11.25" customHeight="1">
      <c r="A252" s="29"/>
      <c r="B252" s="37"/>
      <c r="C252" s="29"/>
      <c r="D252" s="29"/>
      <c r="E252" s="37"/>
      <c r="F252" s="37"/>
      <c r="G252" s="37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 ht="11.25" customHeight="1">
      <c r="A253" s="29"/>
      <c r="B253" s="37"/>
      <c r="C253" s="29"/>
      <c r="D253" s="29"/>
      <c r="E253" s="37"/>
      <c r="F253" s="37"/>
      <c r="G253" s="37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 ht="11.25" customHeight="1">
      <c r="A254" s="29"/>
      <c r="B254" s="37"/>
      <c r="C254" s="29"/>
      <c r="D254" s="29"/>
      <c r="E254" s="37"/>
      <c r="F254" s="37"/>
      <c r="G254" s="37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 ht="11.25" customHeight="1">
      <c r="A255" s="29"/>
      <c r="B255" s="37"/>
      <c r="C255" s="29"/>
      <c r="D255" s="29"/>
      <c r="E255" s="37"/>
      <c r="F255" s="37"/>
      <c r="G255" s="37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 ht="11.25" customHeight="1">
      <c r="A256" s="29"/>
      <c r="B256" s="37"/>
      <c r="C256" s="29"/>
      <c r="D256" s="29"/>
      <c r="E256" s="37"/>
      <c r="F256" s="37"/>
      <c r="G256" s="37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 ht="11.25" customHeight="1">
      <c r="A257" s="29"/>
      <c r="B257" s="37"/>
      <c r="C257" s="29"/>
      <c r="D257" s="29"/>
      <c r="E257" s="37"/>
      <c r="F257" s="37"/>
      <c r="G257" s="37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 ht="11.25" customHeight="1">
      <c r="A258" s="29"/>
      <c r="B258" s="37"/>
      <c r="C258" s="29"/>
      <c r="D258" s="29"/>
      <c r="E258" s="37"/>
      <c r="F258" s="37"/>
      <c r="G258" s="37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 ht="11.25" customHeight="1">
      <c r="A259" s="29"/>
      <c r="B259" s="37"/>
      <c r="C259" s="29"/>
      <c r="D259" s="29"/>
      <c r="E259" s="37"/>
      <c r="F259" s="37"/>
      <c r="G259" s="37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 ht="11.25" customHeight="1">
      <c r="A260" s="29"/>
      <c r="B260" s="37"/>
      <c r="C260" s="29"/>
      <c r="D260" s="29"/>
      <c r="E260" s="37"/>
      <c r="F260" s="37"/>
      <c r="G260" s="37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 ht="11.25" customHeight="1">
      <c r="A261" s="29"/>
      <c r="B261" s="37"/>
      <c r="C261" s="29"/>
      <c r="D261" s="29"/>
      <c r="E261" s="37"/>
      <c r="F261" s="37"/>
      <c r="G261" s="37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 ht="11.25" customHeight="1">
      <c r="A262" s="29"/>
      <c r="B262" s="37"/>
      <c r="C262" s="29"/>
      <c r="D262" s="29"/>
      <c r="E262" s="37"/>
      <c r="F262" s="37"/>
      <c r="G262" s="37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 ht="11.25" customHeight="1">
      <c r="A263" s="29"/>
      <c r="B263" s="37"/>
      <c r="C263" s="29"/>
      <c r="D263" s="29"/>
      <c r="E263" s="37"/>
      <c r="F263" s="37"/>
      <c r="G263" s="37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 ht="11.25" customHeight="1">
      <c r="A264" s="29"/>
      <c r="B264" s="37"/>
      <c r="C264" s="29"/>
      <c r="D264" s="29"/>
      <c r="E264" s="37"/>
      <c r="F264" s="37"/>
      <c r="G264" s="37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 ht="11.25" customHeight="1">
      <c r="A265" s="29"/>
      <c r="B265" s="37"/>
      <c r="C265" s="29"/>
      <c r="D265" s="29"/>
      <c r="E265" s="37"/>
      <c r="F265" s="37"/>
      <c r="G265" s="37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 ht="11.25" customHeight="1">
      <c r="A266" s="29"/>
      <c r="B266" s="37"/>
      <c r="C266" s="29"/>
      <c r="D266" s="29"/>
      <c r="E266" s="37"/>
      <c r="F266" s="37"/>
      <c r="G266" s="37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 ht="11.25" customHeight="1">
      <c r="A267" s="29"/>
      <c r="B267" s="37"/>
      <c r="C267" s="29"/>
      <c r="D267" s="29"/>
      <c r="E267" s="37"/>
      <c r="F267" s="37"/>
      <c r="G267" s="37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 ht="11.25" customHeight="1">
      <c r="A268" s="29"/>
      <c r="B268" s="37"/>
      <c r="C268" s="29"/>
      <c r="D268" s="29"/>
      <c r="E268" s="37"/>
      <c r="F268" s="37"/>
      <c r="G268" s="37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 ht="11.25" customHeight="1">
      <c r="A269" s="29"/>
      <c r="B269" s="37"/>
      <c r="C269" s="29"/>
      <c r="D269" s="29"/>
      <c r="E269" s="37"/>
      <c r="F269" s="37"/>
      <c r="G269" s="37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 ht="11.25" customHeight="1">
      <c r="A270" s="29"/>
      <c r="B270" s="37"/>
      <c r="C270" s="29"/>
      <c r="D270" s="29"/>
      <c r="E270" s="37"/>
      <c r="F270" s="37"/>
      <c r="G270" s="37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 ht="11.25" customHeight="1">
      <c r="A271" s="29"/>
      <c r="B271" s="37"/>
      <c r="C271" s="29"/>
      <c r="D271" s="29"/>
      <c r="E271" s="37"/>
      <c r="F271" s="37"/>
      <c r="G271" s="37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 ht="11.25" customHeight="1">
      <c r="A272" s="29"/>
      <c r="B272" s="37"/>
      <c r="C272" s="29"/>
      <c r="D272" s="29"/>
      <c r="E272" s="37"/>
      <c r="F272" s="37"/>
      <c r="G272" s="37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 ht="11.25" customHeight="1">
      <c r="A273" s="29"/>
      <c r="B273" s="37"/>
      <c r="C273" s="29"/>
      <c r="D273" s="29"/>
      <c r="E273" s="37"/>
      <c r="F273" s="37"/>
      <c r="G273" s="37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 ht="11.25" customHeight="1">
      <c r="A274" s="29"/>
      <c r="B274" s="37"/>
      <c r="C274" s="29"/>
      <c r="D274" s="29"/>
      <c r="E274" s="37"/>
      <c r="F274" s="37"/>
      <c r="G274" s="37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 ht="11.25" customHeight="1">
      <c r="A275" s="29"/>
      <c r="B275" s="37"/>
      <c r="C275" s="29"/>
      <c r="D275" s="29"/>
      <c r="E275" s="37"/>
      <c r="F275" s="37"/>
      <c r="G275" s="37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 ht="11.25" customHeight="1">
      <c r="A276" s="29"/>
      <c r="B276" s="37"/>
      <c r="C276" s="29"/>
      <c r="D276" s="29"/>
      <c r="E276" s="37"/>
      <c r="F276" s="37"/>
      <c r="G276" s="37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 ht="11.25" customHeight="1">
      <c r="A277" s="29"/>
      <c r="B277" s="37"/>
      <c r="C277" s="29"/>
      <c r="D277" s="29"/>
      <c r="E277" s="37"/>
      <c r="F277" s="37"/>
      <c r="G277" s="37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 ht="11.25" customHeight="1">
      <c r="A278" s="29"/>
      <c r="B278" s="37"/>
      <c r="C278" s="29"/>
      <c r="D278" s="29"/>
      <c r="E278" s="37"/>
      <c r="F278" s="37"/>
      <c r="G278" s="37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 ht="11.25" customHeight="1">
      <c r="A279" s="29"/>
      <c r="B279" s="37"/>
      <c r="C279" s="29"/>
      <c r="D279" s="29"/>
      <c r="E279" s="37"/>
      <c r="F279" s="37"/>
      <c r="G279" s="37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 ht="11.25" customHeight="1">
      <c r="A280" s="29"/>
      <c r="B280" s="37"/>
      <c r="C280" s="29"/>
      <c r="D280" s="29"/>
      <c r="E280" s="37"/>
      <c r="F280" s="37"/>
      <c r="G280" s="37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 ht="11.25" customHeight="1">
      <c r="A281" s="29"/>
      <c r="B281" s="37"/>
      <c r="C281" s="29"/>
      <c r="D281" s="29"/>
      <c r="E281" s="37"/>
      <c r="F281" s="37"/>
      <c r="G281" s="37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 ht="11.25" customHeight="1">
      <c r="A282" s="29"/>
      <c r="B282" s="37"/>
      <c r="C282" s="29"/>
      <c r="D282" s="29"/>
      <c r="E282" s="37"/>
      <c r="F282" s="37"/>
      <c r="G282" s="37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 ht="11.25" customHeight="1">
      <c r="A283" s="29"/>
      <c r="B283" s="37"/>
      <c r="C283" s="29"/>
      <c r="D283" s="29"/>
      <c r="E283" s="37"/>
      <c r="F283" s="37"/>
      <c r="G283" s="37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 ht="11.25" customHeight="1">
      <c r="A284" s="29"/>
      <c r="B284" s="37"/>
      <c r="C284" s="29"/>
      <c r="D284" s="29"/>
      <c r="E284" s="37"/>
      <c r="F284" s="37"/>
      <c r="G284" s="37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 ht="11.25" customHeight="1">
      <c r="A285" s="29"/>
      <c r="B285" s="37"/>
      <c r="C285" s="29"/>
      <c r="D285" s="29"/>
      <c r="E285" s="37"/>
      <c r="F285" s="37"/>
      <c r="G285" s="37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 ht="11.25" customHeight="1">
      <c r="A286" s="29"/>
      <c r="B286" s="37"/>
      <c r="C286" s="29"/>
      <c r="D286" s="29"/>
      <c r="E286" s="37"/>
      <c r="F286" s="37"/>
      <c r="G286" s="37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 ht="11.25" customHeight="1">
      <c r="A287" s="29"/>
      <c r="B287" s="37"/>
      <c r="C287" s="29"/>
      <c r="D287" s="29"/>
      <c r="E287" s="37"/>
      <c r="F287" s="37"/>
      <c r="G287" s="37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 ht="11.25" customHeight="1">
      <c r="A288" s="29"/>
      <c r="B288" s="37"/>
      <c r="C288" s="29"/>
      <c r="D288" s="29"/>
      <c r="E288" s="37"/>
      <c r="F288" s="37"/>
      <c r="G288" s="37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 ht="11.25" customHeight="1">
      <c r="A289" s="29"/>
      <c r="B289" s="37"/>
      <c r="C289" s="29"/>
      <c r="D289" s="29"/>
      <c r="E289" s="37"/>
      <c r="F289" s="37"/>
      <c r="G289" s="37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 ht="11.25" customHeight="1">
      <c r="A290" s="29"/>
      <c r="B290" s="37"/>
      <c r="C290" s="29"/>
      <c r="D290" s="29"/>
      <c r="E290" s="37"/>
      <c r="F290" s="37"/>
      <c r="G290" s="37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 ht="11.25" customHeight="1">
      <c r="A291" s="29"/>
      <c r="B291" s="37"/>
      <c r="C291" s="29"/>
      <c r="D291" s="29"/>
      <c r="E291" s="37"/>
      <c r="F291" s="37"/>
      <c r="G291" s="37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 ht="11.25" customHeight="1">
      <c r="A292" s="29"/>
      <c r="B292" s="37"/>
      <c r="C292" s="29"/>
      <c r="D292" s="29"/>
      <c r="E292" s="37"/>
      <c r="F292" s="37"/>
      <c r="G292" s="37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 ht="11.25" customHeight="1">
      <c r="A293" s="29"/>
      <c r="B293" s="37"/>
      <c r="C293" s="29"/>
      <c r="D293" s="29"/>
      <c r="E293" s="37"/>
      <c r="F293" s="37"/>
      <c r="G293" s="37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 ht="11.25" customHeight="1">
      <c r="A294" s="29"/>
      <c r="B294" s="37"/>
      <c r="C294" s="29"/>
      <c r="D294" s="29"/>
      <c r="E294" s="37"/>
      <c r="F294" s="37"/>
      <c r="G294" s="37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 ht="11.25" customHeight="1">
      <c r="A295" s="29"/>
      <c r="B295" s="37"/>
      <c r="C295" s="29"/>
      <c r="D295" s="29"/>
      <c r="E295" s="37"/>
      <c r="F295" s="37"/>
      <c r="G295" s="37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 ht="11.25" customHeight="1">
      <c r="A296" s="29"/>
      <c r="B296" s="37"/>
      <c r="C296" s="29"/>
      <c r="D296" s="29"/>
      <c r="E296" s="37"/>
      <c r="F296" s="37"/>
      <c r="G296" s="37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 ht="11.25" customHeight="1">
      <c r="A297" s="29"/>
      <c r="B297" s="37"/>
      <c r="C297" s="29"/>
      <c r="D297" s="29"/>
      <c r="E297" s="37"/>
      <c r="F297" s="37"/>
      <c r="G297" s="37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 ht="11.25" customHeight="1">
      <c r="A298" s="29"/>
      <c r="B298" s="37"/>
      <c r="C298" s="29"/>
      <c r="D298" s="29"/>
      <c r="E298" s="37"/>
      <c r="F298" s="37"/>
      <c r="G298" s="37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 ht="11.25" customHeight="1">
      <c r="A299" s="29"/>
      <c r="B299" s="37"/>
      <c r="C299" s="29"/>
      <c r="D299" s="29"/>
      <c r="E299" s="37"/>
      <c r="F299" s="37"/>
      <c r="G299" s="37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 ht="11.25" customHeight="1">
      <c r="A300" s="29"/>
      <c r="B300" s="37"/>
      <c r="C300" s="29"/>
      <c r="D300" s="29"/>
      <c r="E300" s="37"/>
      <c r="F300" s="37"/>
      <c r="G300" s="37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 ht="11.25" customHeight="1">
      <c r="A301" s="29"/>
      <c r="B301" s="37"/>
      <c r="C301" s="29"/>
      <c r="D301" s="29"/>
      <c r="E301" s="37"/>
      <c r="F301" s="37"/>
      <c r="G301" s="37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 ht="11.25" customHeight="1">
      <c r="A302" s="29"/>
      <c r="B302" s="37"/>
      <c r="C302" s="29"/>
      <c r="D302" s="29"/>
      <c r="E302" s="37"/>
      <c r="F302" s="37"/>
      <c r="G302" s="37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 ht="11.25" customHeight="1">
      <c r="A303" s="29"/>
      <c r="B303" s="37"/>
      <c r="C303" s="29"/>
      <c r="D303" s="29"/>
      <c r="E303" s="37"/>
      <c r="F303" s="37"/>
      <c r="G303" s="37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 ht="11.25" customHeight="1">
      <c r="A304" s="29"/>
      <c r="B304" s="37"/>
      <c r="C304" s="29"/>
      <c r="D304" s="29"/>
      <c r="E304" s="37"/>
      <c r="F304" s="37"/>
      <c r="G304" s="37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 ht="11.25" customHeight="1">
      <c r="A305" s="29"/>
      <c r="B305" s="37"/>
      <c r="C305" s="29"/>
      <c r="D305" s="29"/>
      <c r="E305" s="37"/>
      <c r="F305" s="37"/>
      <c r="G305" s="37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 ht="11.25" customHeight="1">
      <c r="A306" s="29"/>
      <c r="B306" s="37"/>
      <c r="C306" s="29"/>
      <c r="D306" s="29"/>
      <c r="E306" s="37"/>
      <c r="F306" s="37"/>
      <c r="G306" s="37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 ht="11.25" customHeight="1">
      <c r="A307" s="29"/>
      <c r="B307" s="37"/>
      <c r="C307" s="29"/>
      <c r="D307" s="29"/>
      <c r="E307" s="37"/>
      <c r="F307" s="37"/>
      <c r="G307" s="37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 ht="11.25" customHeight="1">
      <c r="A308" s="29"/>
      <c r="B308" s="37"/>
      <c r="C308" s="29"/>
      <c r="D308" s="29"/>
      <c r="E308" s="37"/>
      <c r="F308" s="37"/>
      <c r="G308" s="37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 ht="11.25" customHeight="1">
      <c r="A309" s="29"/>
      <c r="B309" s="37"/>
      <c r="C309" s="29"/>
      <c r="D309" s="29"/>
      <c r="E309" s="37"/>
      <c r="F309" s="37"/>
      <c r="G309" s="37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 ht="11.25" customHeight="1">
      <c r="A310" s="29"/>
      <c r="B310" s="37"/>
      <c r="C310" s="29"/>
      <c r="D310" s="29"/>
      <c r="E310" s="37"/>
      <c r="F310" s="37"/>
      <c r="G310" s="37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 ht="11.25" customHeight="1">
      <c r="A311" s="29"/>
      <c r="B311" s="37"/>
      <c r="C311" s="29"/>
      <c r="D311" s="29"/>
      <c r="E311" s="37"/>
      <c r="F311" s="37"/>
      <c r="G311" s="37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 ht="11.25" customHeight="1">
      <c r="A312" s="29"/>
      <c r="B312" s="37"/>
      <c r="C312" s="29"/>
      <c r="D312" s="29"/>
      <c r="E312" s="37"/>
      <c r="F312" s="37"/>
      <c r="G312" s="37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 ht="11.25" customHeight="1">
      <c r="A313" s="29"/>
      <c r="B313" s="37"/>
      <c r="C313" s="29"/>
      <c r="D313" s="29"/>
      <c r="E313" s="37"/>
      <c r="F313" s="37"/>
      <c r="G313" s="37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 ht="11.25" customHeight="1">
      <c r="A314" s="29"/>
      <c r="B314" s="37"/>
      <c r="C314" s="29"/>
      <c r="D314" s="29"/>
      <c r="E314" s="37"/>
      <c r="F314" s="37"/>
      <c r="G314" s="37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 ht="11.25" customHeight="1">
      <c r="A315" s="29"/>
      <c r="B315" s="37"/>
      <c r="C315" s="29"/>
      <c r="D315" s="29"/>
      <c r="E315" s="37"/>
      <c r="F315" s="37"/>
      <c r="G315" s="37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 ht="11.25" customHeight="1">
      <c r="A316" s="29"/>
      <c r="B316" s="37"/>
      <c r="C316" s="29"/>
      <c r="D316" s="29"/>
      <c r="E316" s="37"/>
      <c r="F316" s="37"/>
      <c r="G316" s="37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 ht="11.25" customHeight="1">
      <c r="A317" s="29"/>
      <c r="B317" s="37"/>
      <c r="C317" s="29"/>
      <c r="D317" s="29"/>
      <c r="E317" s="37"/>
      <c r="F317" s="37"/>
      <c r="G317" s="37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 ht="11.25" customHeight="1">
      <c r="A318" s="29"/>
      <c r="B318" s="37"/>
      <c r="C318" s="29"/>
      <c r="D318" s="29"/>
      <c r="E318" s="37"/>
      <c r="F318" s="37"/>
      <c r="G318" s="37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 ht="11.25" customHeight="1">
      <c r="A319" s="29"/>
      <c r="B319" s="37"/>
      <c r="C319" s="29"/>
      <c r="D319" s="29"/>
      <c r="E319" s="37"/>
      <c r="F319" s="37"/>
      <c r="G319" s="37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 ht="11.25" customHeight="1">
      <c r="A320" s="29"/>
      <c r="B320" s="37"/>
      <c r="C320" s="29"/>
      <c r="D320" s="29"/>
      <c r="E320" s="37"/>
      <c r="F320" s="37"/>
      <c r="G320" s="37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 ht="11.25" customHeight="1">
      <c r="A321" s="29"/>
      <c r="B321" s="37"/>
      <c r="C321" s="29"/>
      <c r="D321" s="29"/>
      <c r="E321" s="37"/>
      <c r="F321" s="37"/>
      <c r="G321" s="37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 ht="11.25" customHeight="1">
      <c r="A322" s="29"/>
      <c r="B322" s="37"/>
      <c r="C322" s="29"/>
      <c r="D322" s="29"/>
      <c r="E322" s="37"/>
      <c r="F322" s="37"/>
      <c r="G322" s="37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 ht="11.25" customHeight="1">
      <c r="A323" s="29"/>
      <c r="B323" s="37"/>
      <c r="C323" s="29"/>
      <c r="D323" s="29"/>
      <c r="E323" s="37"/>
      <c r="F323" s="37"/>
      <c r="G323" s="37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 ht="11.25" customHeight="1">
      <c r="A324" s="29"/>
      <c r="B324" s="37"/>
      <c r="C324" s="29"/>
      <c r="D324" s="29"/>
      <c r="E324" s="37"/>
      <c r="F324" s="37"/>
      <c r="G324" s="37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 ht="11.25" customHeight="1">
      <c r="A325" s="29"/>
      <c r="B325" s="37"/>
      <c r="C325" s="29"/>
      <c r="D325" s="29"/>
      <c r="E325" s="37"/>
      <c r="F325" s="37"/>
      <c r="G325" s="37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 ht="11.25" customHeight="1">
      <c r="A326" s="29"/>
      <c r="B326" s="37"/>
      <c r="C326" s="29"/>
      <c r="D326" s="29"/>
      <c r="E326" s="37"/>
      <c r="F326" s="37"/>
      <c r="G326" s="37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 ht="11.25" customHeight="1">
      <c r="A327" s="29"/>
      <c r="B327" s="37"/>
      <c r="C327" s="29"/>
      <c r="D327" s="29"/>
      <c r="E327" s="37"/>
      <c r="F327" s="37"/>
      <c r="G327" s="37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 ht="11.25" customHeight="1">
      <c r="A328" s="29"/>
      <c r="B328" s="37"/>
      <c r="C328" s="29"/>
      <c r="D328" s="29"/>
      <c r="E328" s="37"/>
      <c r="F328" s="37"/>
      <c r="G328" s="37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 ht="11.25" customHeight="1">
      <c r="A329" s="29"/>
      <c r="B329" s="37"/>
      <c r="C329" s="29"/>
      <c r="D329" s="29"/>
      <c r="E329" s="37"/>
      <c r="F329" s="37"/>
      <c r="G329" s="37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 ht="11.25" customHeight="1">
      <c r="A330" s="29"/>
      <c r="B330" s="37"/>
      <c r="C330" s="29"/>
      <c r="D330" s="29"/>
      <c r="E330" s="37"/>
      <c r="F330" s="37"/>
      <c r="G330" s="37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 ht="11.25" customHeight="1">
      <c r="A331" s="29"/>
      <c r="B331" s="37"/>
      <c r="C331" s="29"/>
      <c r="D331" s="29"/>
      <c r="E331" s="37"/>
      <c r="F331" s="37"/>
      <c r="G331" s="37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 ht="11.25" customHeight="1">
      <c r="A332" s="29"/>
      <c r="B332" s="37"/>
      <c r="C332" s="29"/>
      <c r="D332" s="29"/>
      <c r="E332" s="37"/>
      <c r="F332" s="37"/>
      <c r="G332" s="37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 ht="11.25" customHeight="1">
      <c r="A333" s="29"/>
      <c r="B333" s="37"/>
      <c r="C333" s="29"/>
      <c r="D333" s="29"/>
      <c r="E333" s="37"/>
      <c r="F333" s="37"/>
      <c r="G333" s="37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 ht="11.25" customHeight="1">
      <c r="A334" s="29"/>
      <c r="B334" s="37"/>
      <c r="C334" s="29"/>
      <c r="D334" s="29"/>
      <c r="E334" s="37"/>
      <c r="F334" s="37"/>
      <c r="G334" s="37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 ht="11.25" customHeight="1">
      <c r="A335" s="29"/>
      <c r="B335" s="37"/>
      <c r="C335" s="29"/>
      <c r="D335" s="29"/>
      <c r="E335" s="37"/>
      <c r="F335" s="37"/>
      <c r="G335" s="37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 ht="11.25" customHeight="1">
      <c r="A336" s="29"/>
      <c r="B336" s="37"/>
      <c r="C336" s="29"/>
      <c r="D336" s="29"/>
      <c r="E336" s="37"/>
      <c r="F336" s="37"/>
      <c r="G336" s="37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 ht="11.25" customHeight="1">
      <c r="A337" s="29"/>
      <c r="B337" s="37"/>
      <c r="C337" s="29"/>
      <c r="D337" s="29"/>
      <c r="E337" s="37"/>
      <c r="F337" s="37"/>
      <c r="G337" s="37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 ht="11.25" customHeight="1">
      <c r="A338" s="29"/>
      <c r="B338" s="37"/>
      <c r="C338" s="29"/>
      <c r="D338" s="29"/>
      <c r="E338" s="37"/>
      <c r="F338" s="37"/>
      <c r="G338" s="37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 ht="11.25" customHeight="1">
      <c r="A339" s="29"/>
      <c r="B339" s="37"/>
      <c r="C339" s="29"/>
      <c r="D339" s="29"/>
      <c r="E339" s="37"/>
      <c r="F339" s="37"/>
      <c r="G339" s="37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 ht="11.25" customHeight="1">
      <c r="A340" s="29"/>
      <c r="B340" s="37"/>
      <c r="C340" s="29"/>
      <c r="D340" s="29"/>
      <c r="E340" s="37"/>
      <c r="F340" s="37"/>
      <c r="G340" s="37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 ht="11.25" customHeight="1">
      <c r="A341" s="29"/>
      <c r="B341" s="37"/>
      <c r="C341" s="29"/>
      <c r="D341" s="29"/>
      <c r="E341" s="37"/>
      <c r="F341" s="37"/>
      <c r="G341" s="37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 ht="11.25" customHeight="1">
      <c r="A342" s="29"/>
      <c r="B342" s="37"/>
      <c r="C342" s="29"/>
      <c r="D342" s="29"/>
      <c r="E342" s="37"/>
      <c r="F342" s="37"/>
      <c r="G342" s="37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 ht="11.25" customHeight="1">
      <c r="A343" s="29"/>
      <c r="B343" s="37"/>
      <c r="C343" s="29"/>
      <c r="D343" s="29"/>
      <c r="E343" s="37"/>
      <c r="F343" s="37"/>
      <c r="G343" s="37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 ht="11.25" customHeight="1">
      <c r="A344" s="29"/>
      <c r="B344" s="37"/>
      <c r="C344" s="29"/>
      <c r="D344" s="29"/>
      <c r="E344" s="37"/>
      <c r="F344" s="37"/>
      <c r="G344" s="37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 ht="11.25" customHeight="1">
      <c r="A345" s="29"/>
      <c r="B345" s="37"/>
      <c r="C345" s="29"/>
      <c r="D345" s="29"/>
      <c r="E345" s="37"/>
      <c r="F345" s="37"/>
      <c r="G345" s="37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 ht="11.25" customHeight="1">
      <c r="A346" s="29"/>
      <c r="B346" s="37"/>
      <c r="C346" s="29"/>
      <c r="D346" s="29"/>
      <c r="E346" s="37"/>
      <c r="F346" s="37"/>
      <c r="G346" s="37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 ht="11.25" customHeight="1">
      <c r="A347" s="29"/>
      <c r="B347" s="37"/>
      <c r="C347" s="29"/>
      <c r="D347" s="29"/>
      <c r="E347" s="37"/>
      <c r="F347" s="37"/>
      <c r="G347" s="37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 ht="11.25" customHeight="1">
      <c r="A348" s="29"/>
      <c r="B348" s="37"/>
      <c r="C348" s="29"/>
      <c r="D348" s="29"/>
      <c r="E348" s="37"/>
      <c r="F348" s="37"/>
      <c r="G348" s="37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 ht="11.25" customHeight="1">
      <c r="A349" s="29"/>
      <c r="B349" s="37"/>
      <c r="C349" s="29"/>
      <c r="D349" s="29"/>
      <c r="E349" s="37"/>
      <c r="F349" s="37"/>
      <c r="G349" s="37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 ht="11.25" customHeight="1">
      <c r="A350" s="29"/>
      <c r="B350" s="37"/>
      <c r="C350" s="29"/>
      <c r="D350" s="29"/>
      <c r="E350" s="37"/>
      <c r="F350" s="37"/>
      <c r="G350" s="37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 ht="11.25" customHeight="1">
      <c r="A351" s="29"/>
      <c r="B351" s="37"/>
      <c r="C351" s="29"/>
      <c r="D351" s="29"/>
      <c r="E351" s="37"/>
      <c r="F351" s="37"/>
      <c r="G351" s="37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 ht="11.25" customHeight="1">
      <c r="A352" s="29"/>
      <c r="B352" s="37"/>
      <c r="C352" s="29"/>
      <c r="D352" s="29"/>
      <c r="E352" s="37"/>
      <c r="F352" s="37"/>
      <c r="G352" s="37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 ht="11.25" customHeight="1">
      <c r="A353" s="29"/>
      <c r="B353" s="37"/>
      <c r="C353" s="29"/>
      <c r="D353" s="29"/>
      <c r="E353" s="37"/>
      <c r="F353" s="37"/>
      <c r="G353" s="37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 ht="11.25" customHeight="1">
      <c r="A354" s="29"/>
      <c r="B354" s="37"/>
      <c r="C354" s="29"/>
      <c r="D354" s="29"/>
      <c r="E354" s="37"/>
      <c r="F354" s="37"/>
      <c r="G354" s="37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 ht="11.25" customHeight="1">
      <c r="A355" s="29"/>
      <c r="B355" s="37"/>
      <c r="C355" s="29"/>
      <c r="D355" s="29"/>
      <c r="E355" s="37"/>
      <c r="F355" s="37"/>
      <c r="G355" s="37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 ht="11.25" customHeight="1">
      <c r="A356" s="29"/>
      <c r="B356" s="37"/>
      <c r="C356" s="29"/>
      <c r="D356" s="29"/>
      <c r="E356" s="37"/>
      <c r="F356" s="37"/>
      <c r="G356" s="37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 ht="11.25" customHeight="1">
      <c r="A357" s="29"/>
      <c r="B357" s="37"/>
      <c r="C357" s="29"/>
      <c r="D357" s="29"/>
      <c r="E357" s="37"/>
      <c r="F357" s="37"/>
      <c r="G357" s="37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 ht="11.25" customHeight="1">
      <c r="A358" s="29"/>
      <c r="B358" s="37"/>
      <c r="C358" s="29"/>
      <c r="D358" s="29"/>
      <c r="E358" s="37"/>
      <c r="F358" s="37"/>
      <c r="G358" s="37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 ht="11.25" customHeight="1">
      <c r="A359" s="29"/>
      <c r="B359" s="37"/>
      <c r="C359" s="29"/>
      <c r="D359" s="29"/>
      <c r="E359" s="37"/>
      <c r="F359" s="37"/>
      <c r="G359" s="37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 ht="11.25" customHeight="1">
      <c r="A360" s="29"/>
      <c r="B360" s="37"/>
      <c r="C360" s="29"/>
      <c r="D360" s="29"/>
      <c r="E360" s="37"/>
      <c r="F360" s="37"/>
      <c r="G360" s="37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 ht="11.25" customHeight="1">
      <c r="A361" s="29"/>
      <c r="B361" s="37"/>
      <c r="C361" s="29"/>
      <c r="D361" s="29"/>
      <c r="E361" s="37"/>
      <c r="F361" s="37"/>
      <c r="G361" s="37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 ht="11.25" customHeight="1">
      <c r="A362" s="29"/>
      <c r="B362" s="37"/>
      <c r="C362" s="29"/>
      <c r="D362" s="29"/>
      <c r="E362" s="37"/>
      <c r="F362" s="37"/>
      <c r="G362" s="37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 ht="11.25" customHeight="1">
      <c r="A363" s="29"/>
      <c r="B363" s="37"/>
      <c r="C363" s="29"/>
      <c r="D363" s="29"/>
      <c r="E363" s="37"/>
      <c r="F363" s="37"/>
      <c r="G363" s="37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 ht="11.25" customHeight="1">
      <c r="A364" s="29"/>
      <c r="B364" s="37"/>
      <c r="C364" s="29"/>
      <c r="D364" s="29"/>
      <c r="E364" s="37"/>
      <c r="F364" s="37"/>
      <c r="G364" s="37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 ht="11.25" customHeight="1">
      <c r="A365" s="29"/>
      <c r="B365" s="37"/>
      <c r="C365" s="29"/>
      <c r="D365" s="29"/>
      <c r="E365" s="37"/>
      <c r="F365" s="37"/>
      <c r="G365" s="37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 ht="11.25" customHeight="1">
      <c r="A366" s="29"/>
      <c r="B366" s="37"/>
      <c r="C366" s="29"/>
      <c r="D366" s="29"/>
      <c r="E366" s="37"/>
      <c r="F366" s="37"/>
      <c r="G366" s="37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 ht="11.25" customHeight="1">
      <c r="A367" s="29"/>
      <c r="B367" s="37"/>
      <c r="C367" s="29"/>
      <c r="D367" s="29"/>
      <c r="E367" s="37"/>
      <c r="F367" s="37"/>
      <c r="G367" s="37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 ht="11.25" customHeight="1">
      <c r="A368" s="29"/>
      <c r="B368" s="37"/>
      <c r="C368" s="29"/>
      <c r="D368" s="29"/>
      <c r="E368" s="37"/>
      <c r="F368" s="37"/>
      <c r="G368" s="37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 ht="11.25" customHeight="1">
      <c r="A369" s="29"/>
      <c r="B369" s="37"/>
      <c r="C369" s="29"/>
      <c r="D369" s="29"/>
      <c r="E369" s="37"/>
      <c r="F369" s="37"/>
      <c r="G369" s="37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 ht="11.25" customHeight="1">
      <c r="A370" s="29"/>
      <c r="B370" s="37"/>
      <c r="C370" s="29"/>
      <c r="D370" s="29"/>
      <c r="E370" s="37"/>
      <c r="F370" s="37"/>
      <c r="G370" s="37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 ht="11.25" customHeight="1">
      <c r="A371" s="29"/>
      <c r="B371" s="37"/>
      <c r="C371" s="29"/>
      <c r="D371" s="29"/>
      <c r="E371" s="37"/>
      <c r="F371" s="37"/>
      <c r="G371" s="37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 ht="11.25" customHeight="1">
      <c r="A372" s="29"/>
      <c r="B372" s="37"/>
      <c r="C372" s="29"/>
      <c r="D372" s="29"/>
      <c r="E372" s="37"/>
      <c r="F372" s="37"/>
      <c r="G372" s="37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 ht="11.25" customHeight="1">
      <c r="A373" s="29"/>
      <c r="B373" s="37"/>
      <c r="C373" s="29"/>
      <c r="D373" s="29"/>
      <c r="E373" s="37"/>
      <c r="F373" s="37"/>
      <c r="G373" s="37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 ht="11.25" customHeight="1">
      <c r="A374" s="29"/>
      <c r="B374" s="37"/>
      <c r="C374" s="29"/>
      <c r="D374" s="29"/>
      <c r="E374" s="37"/>
      <c r="F374" s="37"/>
      <c r="G374" s="37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 ht="11.25" customHeight="1">
      <c r="A375" s="29"/>
      <c r="B375" s="37"/>
      <c r="C375" s="29"/>
      <c r="D375" s="29"/>
      <c r="E375" s="37"/>
      <c r="F375" s="37"/>
      <c r="G375" s="37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 ht="11.25" customHeight="1">
      <c r="A376" s="29"/>
      <c r="B376" s="37"/>
      <c r="C376" s="29"/>
      <c r="D376" s="29"/>
      <c r="E376" s="37"/>
      <c r="F376" s="37"/>
      <c r="G376" s="37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 ht="11.25" customHeight="1">
      <c r="A377" s="29"/>
      <c r="B377" s="37"/>
      <c r="C377" s="29"/>
      <c r="D377" s="29"/>
      <c r="E377" s="37"/>
      <c r="F377" s="37"/>
      <c r="G377" s="37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 ht="11.25" customHeight="1">
      <c r="A378" s="29"/>
      <c r="B378" s="37"/>
      <c r="C378" s="29"/>
      <c r="D378" s="29"/>
      <c r="E378" s="37"/>
      <c r="F378" s="37"/>
      <c r="G378" s="37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 ht="11.25" customHeight="1">
      <c r="A379" s="29"/>
      <c r="B379" s="37"/>
      <c r="C379" s="29"/>
      <c r="D379" s="29"/>
      <c r="E379" s="37"/>
      <c r="F379" s="37"/>
      <c r="G379" s="37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 ht="11.25" customHeight="1">
      <c r="A380" s="29"/>
      <c r="B380" s="37"/>
      <c r="C380" s="29"/>
      <c r="D380" s="29"/>
      <c r="E380" s="37"/>
      <c r="F380" s="37"/>
      <c r="G380" s="37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 ht="11.25" customHeight="1">
      <c r="A381" s="29"/>
      <c r="B381" s="37"/>
      <c r="C381" s="29"/>
      <c r="D381" s="29"/>
      <c r="E381" s="37"/>
      <c r="F381" s="37"/>
      <c r="G381" s="37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 ht="11.25" customHeight="1">
      <c r="A382" s="29"/>
      <c r="B382" s="37"/>
      <c r="C382" s="29"/>
      <c r="D382" s="29"/>
      <c r="E382" s="37"/>
      <c r="F382" s="37"/>
      <c r="G382" s="37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 ht="11.25" customHeight="1">
      <c r="A383" s="29"/>
      <c r="B383" s="37"/>
      <c r="C383" s="29"/>
      <c r="D383" s="29"/>
      <c r="E383" s="37"/>
      <c r="F383" s="37"/>
      <c r="G383" s="37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 ht="11.25" customHeight="1">
      <c r="A384" s="29"/>
      <c r="B384" s="37"/>
      <c r="C384" s="29"/>
      <c r="D384" s="29"/>
      <c r="E384" s="37"/>
      <c r="F384" s="37"/>
      <c r="G384" s="37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 ht="11.25" customHeight="1">
      <c r="A385" s="29"/>
      <c r="B385" s="37"/>
      <c r="C385" s="29"/>
      <c r="D385" s="29"/>
      <c r="E385" s="37"/>
      <c r="F385" s="37"/>
      <c r="G385" s="37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 ht="11.25" customHeight="1">
      <c r="A386" s="29"/>
      <c r="B386" s="37"/>
      <c r="C386" s="29"/>
      <c r="D386" s="29"/>
      <c r="E386" s="37"/>
      <c r="F386" s="37"/>
      <c r="G386" s="37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 ht="11.25" customHeight="1">
      <c r="A387" s="29"/>
      <c r="B387" s="37"/>
      <c r="C387" s="29"/>
      <c r="D387" s="29"/>
      <c r="E387" s="37"/>
      <c r="F387" s="37"/>
      <c r="G387" s="37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 ht="11.25" customHeight="1">
      <c r="A388" s="29"/>
      <c r="B388" s="37"/>
      <c r="C388" s="29"/>
      <c r="D388" s="29"/>
      <c r="E388" s="37"/>
      <c r="F388" s="37"/>
      <c r="G388" s="37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 ht="11.25" customHeight="1">
      <c r="A389" s="29"/>
      <c r="B389" s="37"/>
      <c r="C389" s="29"/>
      <c r="D389" s="29"/>
      <c r="E389" s="37"/>
      <c r="F389" s="37"/>
      <c r="G389" s="37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 ht="11.25" customHeight="1">
      <c r="A390" s="29"/>
      <c r="B390" s="37"/>
      <c r="C390" s="29"/>
      <c r="D390" s="29"/>
      <c r="E390" s="37"/>
      <c r="F390" s="37"/>
      <c r="G390" s="37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 ht="11.25" customHeight="1">
      <c r="A391" s="29"/>
      <c r="B391" s="37"/>
      <c r="C391" s="29"/>
      <c r="D391" s="29"/>
      <c r="E391" s="37"/>
      <c r="F391" s="37"/>
      <c r="G391" s="37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 ht="11.25" customHeight="1">
      <c r="A392" s="29"/>
      <c r="B392" s="37"/>
      <c r="C392" s="29"/>
      <c r="D392" s="29"/>
      <c r="E392" s="37"/>
      <c r="F392" s="37"/>
      <c r="G392" s="37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 ht="11.25" customHeight="1">
      <c r="A393" s="29"/>
      <c r="B393" s="37"/>
      <c r="C393" s="29"/>
      <c r="D393" s="29"/>
      <c r="E393" s="37"/>
      <c r="F393" s="37"/>
      <c r="G393" s="37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 ht="11.25" customHeight="1">
      <c r="A394" s="29"/>
      <c r="B394" s="37"/>
      <c r="C394" s="29"/>
      <c r="D394" s="29"/>
      <c r="E394" s="37"/>
      <c r="F394" s="37"/>
      <c r="G394" s="37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 ht="11.25" customHeight="1">
      <c r="A395" s="29"/>
      <c r="B395" s="37"/>
      <c r="C395" s="29"/>
      <c r="D395" s="29"/>
      <c r="E395" s="37"/>
      <c r="F395" s="37"/>
      <c r="G395" s="37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 ht="11.25" customHeight="1">
      <c r="A396" s="29"/>
      <c r="B396" s="37"/>
      <c r="C396" s="29"/>
      <c r="D396" s="29"/>
      <c r="E396" s="37"/>
      <c r="F396" s="37"/>
      <c r="G396" s="37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 ht="11.25" customHeight="1">
      <c r="A397" s="29"/>
      <c r="B397" s="37"/>
      <c r="C397" s="29"/>
      <c r="D397" s="29"/>
      <c r="E397" s="37"/>
      <c r="F397" s="37"/>
      <c r="G397" s="37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 ht="11.25" customHeight="1">
      <c r="A398" s="29"/>
      <c r="B398" s="37"/>
      <c r="C398" s="29"/>
      <c r="D398" s="29"/>
      <c r="E398" s="37"/>
      <c r="F398" s="37"/>
      <c r="G398" s="37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 ht="11.25" customHeight="1">
      <c r="A399" s="29"/>
      <c r="B399" s="37"/>
      <c r="C399" s="29"/>
      <c r="D399" s="29"/>
      <c r="E399" s="37"/>
      <c r="F399" s="37"/>
      <c r="G399" s="37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 ht="11.25" customHeight="1">
      <c r="A400" s="29"/>
      <c r="B400" s="37"/>
      <c r="C400" s="29"/>
      <c r="D400" s="29"/>
      <c r="E400" s="37"/>
      <c r="F400" s="37"/>
      <c r="G400" s="37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 ht="11.25" customHeight="1">
      <c r="A401" s="29"/>
      <c r="B401" s="37"/>
      <c r="C401" s="29"/>
      <c r="D401" s="29"/>
      <c r="E401" s="37"/>
      <c r="F401" s="37"/>
      <c r="G401" s="37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 ht="11.25" customHeight="1">
      <c r="A402" s="29"/>
      <c r="B402" s="37"/>
      <c r="C402" s="29"/>
      <c r="D402" s="29"/>
      <c r="E402" s="37"/>
      <c r="F402" s="37"/>
      <c r="G402" s="37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 ht="11.25" customHeight="1">
      <c r="A403" s="29"/>
      <c r="B403" s="37"/>
      <c r="C403" s="29"/>
      <c r="D403" s="29"/>
      <c r="E403" s="37"/>
      <c r="F403" s="37"/>
      <c r="G403" s="37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 ht="11.25" customHeight="1">
      <c r="A404" s="29"/>
      <c r="B404" s="37"/>
      <c r="C404" s="29"/>
      <c r="D404" s="29"/>
      <c r="E404" s="37"/>
      <c r="F404" s="37"/>
      <c r="G404" s="37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 ht="11.25" customHeight="1">
      <c r="A405" s="29"/>
      <c r="B405" s="37"/>
      <c r="C405" s="29"/>
      <c r="D405" s="29"/>
      <c r="E405" s="37"/>
      <c r="F405" s="37"/>
      <c r="G405" s="37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 ht="11.25" customHeight="1">
      <c r="A406" s="29"/>
      <c r="B406" s="37"/>
      <c r="C406" s="29"/>
      <c r="D406" s="29"/>
      <c r="E406" s="37"/>
      <c r="F406" s="37"/>
      <c r="G406" s="37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 ht="11.25" customHeight="1">
      <c r="A407" s="29"/>
      <c r="B407" s="37"/>
      <c r="C407" s="29"/>
      <c r="D407" s="29"/>
      <c r="E407" s="37"/>
      <c r="F407" s="37"/>
      <c r="G407" s="37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 ht="11.25" customHeight="1">
      <c r="A408" s="29"/>
      <c r="B408" s="37"/>
      <c r="C408" s="29"/>
      <c r="D408" s="29"/>
      <c r="E408" s="37"/>
      <c r="F408" s="37"/>
      <c r="G408" s="37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 ht="11.25" customHeight="1">
      <c r="A409" s="29"/>
      <c r="B409" s="37"/>
      <c r="C409" s="29"/>
      <c r="D409" s="29"/>
      <c r="E409" s="37"/>
      <c r="F409" s="37"/>
      <c r="G409" s="37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 ht="11.25" customHeight="1">
      <c r="A410" s="29"/>
      <c r="B410" s="37"/>
      <c r="C410" s="29"/>
      <c r="D410" s="29"/>
      <c r="E410" s="37"/>
      <c r="F410" s="37"/>
      <c r="G410" s="37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 ht="11.25" customHeight="1">
      <c r="A411" s="29"/>
      <c r="B411" s="37"/>
      <c r="C411" s="29"/>
      <c r="D411" s="29"/>
      <c r="E411" s="37"/>
      <c r="F411" s="37"/>
      <c r="G411" s="37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 ht="11.25" customHeight="1">
      <c r="A412" s="29"/>
      <c r="B412" s="37"/>
      <c r="C412" s="29"/>
      <c r="D412" s="29"/>
      <c r="E412" s="37"/>
      <c r="F412" s="37"/>
      <c r="G412" s="37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 ht="11.25" customHeight="1">
      <c r="A413" s="29"/>
      <c r="B413" s="37"/>
      <c r="C413" s="29"/>
      <c r="D413" s="29"/>
      <c r="E413" s="37"/>
      <c r="F413" s="37"/>
      <c r="G413" s="37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 ht="11.25" customHeight="1">
      <c r="A414" s="29"/>
      <c r="B414" s="37"/>
      <c r="C414" s="29"/>
      <c r="D414" s="29"/>
      <c r="E414" s="37"/>
      <c r="F414" s="37"/>
      <c r="G414" s="37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 ht="11.25" customHeight="1">
      <c r="A415" s="29"/>
      <c r="B415" s="37"/>
      <c r="C415" s="29"/>
      <c r="D415" s="29"/>
      <c r="E415" s="37"/>
      <c r="F415" s="37"/>
      <c r="G415" s="37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 ht="11.25" customHeight="1">
      <c r="A416" s="29"/>
      <c r="B416" s="37"/>
      <c r="C416" s="29"/>
      <c r="D416" s="29"/>
      <c r="E416" s="37"/>
      <c r="F416" s="37"/>
      <c r="G416" s="37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 ht="11.25" customHeight="1">
      <c r="A417" s="29"/>
      <c r="B417" s="37"/>
      <c r="C417" s="29"/>
      <c r="D417" s="29"/>
      <c r="E417" s="37"/>
      <c r="F417" s="37"/>
      <c r="G417" s="37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 ht="11.25" customHeight="1">
      <c r="A418" s="29"/>
      <c r="B418" s="37"/>
      <c r="C418" s="29"/>
      <c r="D418" s="29"/>
      <c r="E418" s="37"/>
      <c r="F418" s="37"/>
      <c r="G418" s="37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 ht="11.25" customHeight="1">
      <c r="A419" s="29"/>
      <c r="B419" s="37"/>
      <c r="C419" s="29"/>
      <c r="D419" s="29"/>
      <c r="E419" s="37"/>
      <c r="F419" s="37"/>
      <c r="G419" s="37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 ht="11.25" customHeight="1">
      <c r="A420" s="29"/>
      <c r="B420" s="37"/>
      <c r="C420" s="29"/>
      <c r="D420" s="29"/>
      <c r="E420" s="37"/>
      <c r="F420" s="37"/>
      <c r="G420" s="37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 ht="11.25" customHeight="1">
      <c r="A421" s="29"/>
      <c r="B421" s="37"/>
      <c r="C421" s="29"/>
      <c r="D421" s="29"/>
      <c r="E421" s="37"/>
      <c r="F421" s="37"/>
      <c r="G421" s="37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 ht="11.25" customHeight="1">
      <c r="A422" s="29"/>
      <c r="B422" s="37"/>
      <c r="C422" s="29"/>
      <c r="D422" s="29"/>
      <c r="E422" s="37"/>
      <c r="F422" s="37"/>
      <c r="G422" s="37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 ht="11.25" customHeight="1">
      <c r="A423" s="29"/>
      <c r="B423" s="37"/>
      <c r="C423" s="29"/>
      <c r="D423" s="29"/>
      <c r="E423" s="37"/>
      <c r="F423" s="37"/>
      <c r="G423" s="37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 ht="11.25" customHeight="1">
      <c r="A424" s="29"/>
      <c r="B424" s="37"/>
      <c r="C424" s="29"/>
      <c r="D424" s="29"/>
      <c r="E424" s="37"/>
      <c r="F424" s="37"/>
      <c r="G424" s="37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 ht="11.25" customHeight="1">
      <c r="A425" s="29"/>
      <c r="B425" s="37"/>
      <c r="C425" s="29"/>
      <c r="D425" s="29"/>
      <c r="E425" s="37"/>
      <c r="F425" s="37"/>
      <c r="G425" s="37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 ht="11.25" customHeight="1">
      <c r="A426" s="29"/>
      <c r="B426" s="37"/>
      <c r="C426" s="29"/>
      <c r="D426" s="29"/>
      <c r="E426" s="37"/>
      <c r="F426" s="37"/>
      <c r="G426" s="37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 ht="11.25" customHeight="1">
      <c r="A427" s="29"/>
      <c r="B427" s="37"/>
      <c r="C427" s="29"/>
      <c r="D427" s="29"/>
      <c r="E427" s="37"/>
      <c r="F427" s="37"/>
      <c r="G427" s="37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 ht="11.25" customHeight="1">
      <c r="A428" s="29"/>
      <c r="B428" s="37"/>
      <c r="C428" s="29"/>
      <c r="D428" s="29"/>
      <c r="E428" s="37"/>
      <c r="F428" s="37"/>
      <c r="G428" s="37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 ht="11.25" customHeight="1">
      <c r="A429" s="29"/>
      <c r="B429" s="37"/>
      <c r="C429" s="29"/>
      <c r="D429" s="29"/>
      <c r="E429" s="37"/>
      <c r="F429" s="37"/>
      <c r="G429" s="37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 ht="11.25" customHeight="1">
      <c r="A430" s="29"/>
      <c r="B430" s="37"/>
      <c r="C430" s="29"/>
      <c r="D430" s="29"/>
      <c r="E430" s="37"/>
      <c r="F430" s="37"/>
      <c r="G430" s="37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 ht="11.25" customHeight="1">
      <c r="A431" s="29"/>
      <c r="B431" s="37"/>
      <c r="C431" s="29"/>
      <c r="D431" s="29"/>
      <c r="E431" s="37"/>
      <c r="F431" s="37"/>
      <c r="G431" s="37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 ht="11.25" customHeight="1">
      <c r="A432" s="29"/>
      <c r="B432" s="37"/>
      <c r="C432" s="29"/>
      <c r="D432" s="29"/>
      <c r="E432" s="37"/>
      <c r="F432" s="37"/>
      <c r="G432" s="37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 ht="11.25" customHeight="1">
      <c r="A433" s="29"/>
      <c r="B433" s="37"/>
      <c r="C433" s="29"/>
      <c r="D433" s="29"/>
      <c r="E433" s="37"/>
      <c r="F433" s="37"/>
      <c r="G433" s="37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 ht="11.25" customHeight="1">
      <c r="A434" s="29"/>
      <c r="B434" s="37"/>
      <c r="C434" s="29"/>
      <c r="D434" s="29"/>
      <c r="E434" s="37"/>
      <c r="F434" s="37"/>
      <c r="G434" s="37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 ht="11.25" customHeight="1">
      <c r="A435" s="29"/>
      <c r="B435" s="37"/>
      <c r="C435" s="29"/>
      <c r="D435" s="29"/>
      <c r="E435" s="37"/>
      <c r="F435" s="37"/>
      <c r="G435" s="37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 ht="11.25" customHeight="1">
      <c r="A436" s="29"/>
      <c r="B436" s="37"/>
      <c r="C436" s="29"/>
      <c r="D436" s="29"/>
      <c r="E436" s="37"/>
      <c r="F436" s="37"/>
      <c r="G436" s="37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 ht="11.25" customHeight="1">
      <c r="A437" s="29"/>
      <c r="B437" s="37"/>
      <c r="C437" s="29"/>
      <c r="D437" s="29"/>
      <c r="E437" s="37"/>
      <c r="F437" s="37"/>
      <c r="G437" s="37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 ht="11.25" customHeight="1">
      <c r="A438" s="29"/>
      <c r="B438" s="37"/>
      <c r="C438" s="29"/>
      <c r="D438" s="29"/>
      <c r="E438" s="37"/>
      <c r="F438" s="37"/>
      <c r="G438" s="37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 ht="11.25" customHeight="1">
      <c r="A439" s="29"/>
      <c r="B439" s="37"/>
      <c r="C439" s="29"/>
      <c r="D439" s="29"/>
      <c r="E439" s="37"/>
      <c r="F439" s="37"/>
      <c r="G439" s="37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 ht="11.25" customHeight="1">
      <c r="A440" s="29"/>
      <c r="B440" s="37"/>
      <c r="C440" s="29"/>
      <c r="D440" s="29"/>
      <c r="E440" s="37"/>
      <c r="F440" s="37"/>
      <c r="G440" s="37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 ht="11.25" customHeight="1">
      <c r="A441" s="29"/>
      <c r="B441" s="37"/>
      <c r="C441" s="29"/>
      <c r="D441" s="29"/>
      <c r="E441" s="37"/>
      <c r="F441" s="37"/>
      <c r="G441" s="37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 ht="11.25" customHeight="1">
      <c r="A442" s="29"/>
      <c r="B442" s="37"/>
      <c r="C442" s="29"/>
      <c r="D442" s="29"/>
      <c r="E442" s="37"/>
      <c r="F442" s="37"/>
      <c r="G442" s="37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 ht="11.25" customHeight="1">
      <c r="A443" s="29"/>
      <c r="B443" s="37"/>
      <c r="C443" s="29"/>
      <c r="D443" s="29"/>
      <c r="E443" s="37"/>
      <c r="F443" s="37"/>
      <c r="G443" s="37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 ht="11.25" customHeight="1">
      <c r="A444" s="29"/>
      <c r="B444" s="37"/>
      <c r="C444" s="29"/>
      <c r="D444" s="29"/>
      <c r="E444" s="37"/>
      <c r="F444" s="37"/>
      <c r="G444" s="37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 ht="11.25" customHeight="1">
      <c r="A445" s="29"/>
      <c r="B445" s="37"/>
      <c r="C445" s="29"/>
      <c r="D445" s="29"/>
      <c r="E445" s="37"/>
      <c r="F445" s="37"/>
      <c r="G445" s="37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 ht="11.25" customHeight="1">
      <c r="A446" s="29"/>
      <c r="B446" s="37"/>
      <c r="C446" s="29"/>
      <c r="D446" s="29"/>
      <c r="E446" s="37"/>
      <c r="F446" s="37"/>
      <c r="G446" s="37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 ht="11.25" customHeight="1">
      <c r="A447" s="29"/>
      <c r="B447" s="37"/>
      <c r="C447" s="29"/>
      <c r="D447" s="29"/>
      <c r="E447" s="37"/>
      <c r="F447" s="37"/>
      <c r="G447" s="37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 ht="11.25" customHeight="1">
      <c r="A448" s="29"/>
      <c r="B448" s="37"/>
      <c r="C448" s="29"/>
      <c r="D448" s="29"/>
      <c r="E448" s="37"/>
      <c r="F448" s="37"/>
      <c r="G448" s="37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 ht="11.25" customHeight="1">
      <c r="A449" s="29"/>
      <c r="B449" s="37"/>
      <c r="C449" s="29"/>
      <c r="D449" s="29"/>
      <c r="E449" s="37"/>
      <c r="F449" s="37"/>
      <c r="G449" s="37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 ht="11.25" customHeight="1">
      <c r="A450" s="29"/>
      <c r="B450" s="37"/>
      <c r="C450" s="29"/>
      <c r="D450" s="29"/>
      <c r="E450" s="37"/>
      <c r="F450" s="37"/>
      <c r="G450" s="37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 ht="11.25" customHeight="1">
      <c r="A451" s="29"/>
      <c r="B451" s="37"/>
      <c r="C451" s="29"/>
      <c r="D451" s="29"/>
      <c r="E451" s="37"/>
      <c r="F451" s="37"/>
      <c r="G451" s="37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 ht="11.25" customHeight="1">
      <c r="A452" s="29"/>
      <c r="B452" s="37"/>
      <c r="C452" s="29"/>
      <c r="D452" s="29"/>
      <c r="E452" s="37"/>
      <c r="F452" s="37"/>
      <c r="G452" s="37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 ht="11.25" customHeight="1">
      <c r="A453" s="29"/>
      <c r="B453" s="37"/>
      <c r="C453" s="29"/>
      <c r="D453" s="29"/>
      <c r="E453" s="37"/>
      <c r="F453" s="37"/>
      <c r="G453" s="37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 ht="11.25" customHeight="1">
      <c r="A454" s="29"/>
      <c r="B454" s="37"/>
      <c r="C454" s="29"/>
      <c r="D454" s="29"/>
      <c r="E454" s="37"/>
      <c r="F454" s="37"/>
      <c r="G454" s="37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 ht="11.25" customHeight="1">
      <c r="A455" s="29"/>
      <c r="B455" s="37"/>
      <c r="C455" s="29"/>
      <c r="D455" s="29"/>
      <c r="E455" s="37"/>
      <c r="F455" s="37"/>
      <c r="G455" s="37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 ht="11.25" customHeight="1">
      <c r="A456" s="29"/>
      <c r="B456" s="37"/>
      <c r="C456" s="29"/>
      <c r="D456" s="29"/>
      <c r="E456" s="37"/>
      <c r="F456" s="37"/>
      <c r="G456" s="37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 ht="11.25" customHeight="1">
      <c r="A457" s="29"/>
      <c r="B457" s="37"/>
      <c r="C457" s="29"/>
      <c r="D457" s="29"/>
      <c r="E457" s="37"/>
      <c r="F457" s="37"/>
      <c r="G457" s="37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 ht="11.25" customHeight="1">
      <c r="A458" s="29"/>
      <c r="B458" s="37"/>
      <c r="C458" s="29"/>
      <c r="D458" s="29"/>
      <c r="E458" s="37"/>
      <c r="F458" s="37"/>
      <c r="G458" s="37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 ht="11.25" customHeight="1">
      <c r="A459" s="29"/>
      <c r="B459" s="37"/>
      <c r="C459" s="29"/>
      <c r="D459" s="29"/>
      <c r="E459" s="37"/>
      <c r="F459" s="37"/>
      <c r="G459" s="37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 ht="11.25" customHeight="1">
      <c r="A460" s="29"/>
      <c r="B460" s="37"/>
      <c r="C460" s="29"/>
      <c r="D460" s="29"/>
      <c r="E460" s="37"/>
      <c r="F460" s="37"/>
      <c r="G460" s="37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 ht="11.25" customHeight="1">
      <c r="A461" s="29"/>
      <c r="B461" s="37"/>
      <c r="C461" s="29"/>
      <c r="D461" s="29"/>
      <c r="E461" s="37"/>
      <c r="F461" s="37"/>
      <c r="G461" s="37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 ht="11.25" customHeight="1">
      <c r="A462" s="29"/>
      <c r="B462" s="37"/>
      <c r="C462" s="29"/>
      <c r="D462" s="29"/>
      <c r="E462" s="37"/>
      <c r="F462" s="37"/>
      <c r="G462" s="37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 ht="11.25" customHeight="1">
      <c r="A463" s="29"/>
      <c r="B463" s="37"/>
      <c r="C463" s="29"/>
      <c r="D463" s="29"/>
      <c r="E463" s="37"/>
      <c r="F463" s="37"/>
      <c r="G463" s="37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 ht="11.25" customHeight="1">
      <c r="A464" s="29"/>
      <c r="B464" s="37"/>
      <c r="C464" s="29"/>
      <c r="D464" s="29"/>
      <c r="E464" s="37"/>
      <c r="F464" s="37"/>
      <c r="G464" s="37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 ht="11.25" customHeight="1">
      <c r="A465" s="29"/>
      <c r="B465" s="37"/>
      <c r="C465" s="29"/>
      <c r="D465" s="29"/>
      <c r="E465" s="37"/>
      <c r="F465" s="37"/>
      <c r="G465" s="37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 ht="11.25" customHeight="1">
      <c r="A466" s="29"/>
      <c r="B466" s="37"/>
      <c r="C466" s="29"/>
      <c r="D466" s="29"/>
      <c r="E466" s="37"/>
      <c r="F466" s="37"/>
      <c r="G466" s="37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 ht="11.25" customHeight="1">
      <c r="A467" s="29"/>
      <c r="B467" s="37"/>
      <c r="C467" s="29"/>
      <c r="D467" s="29"/>
      <c r="E467" s="37"/>
      <c r="F467" s="37"/>
      <c r="G467" s="37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 ht="11.25" customHeight="1">
      <c r="A468" s="29"/>
      <c r="B468" s="37"/>
      <c r="C468" s="29"/>
      <c r="D468" s="29"/>
      <c r="E468" s="37"/>
      <c r="F468" s="37"/>
      <c r="G468" s="37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 ht="11.25" customHeight="1">
      <c r="A469" s="29"/>
      <c r="B469" s="37"/>
      <c r="C469" s="29"/>
      <c r="D469" s="29"/>
      <c r="E469" s="37"/>
      <c r="F469" s="37"/>
      <c r="G469" s="37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 ht="11.25" customHeight="1">
      <c r="A470" s="29"/>
      <c r="B470" s="37"/>
      <c r="C470" s="29"/>
      <c r="D470" s="29"/>
      <c r="E470" s="37"/>
      <c r="F470" s="37"/>
      <c r="G470" s="37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 ht="11.25" customHeight="1">
      <c r="A471" s="29"/>
      <c r="B471" s="37"/>
      <c r="C471" s="29"/>
      <c r="D471" s="29"/>
      <c r="E471" s="37"/>
      <c r="F471" s="37"/>
      <c r="G471" s="37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 ht="11.25" customHeight="1">
      <c r="A472" s="29"/>
      <c r="B472" s="37"/>
      <c r="C472" s="29"/>
      <c r="D472" s="29"/>
      <c r="E472" s="37"/>
      <c r="F472" s="37"/>
      <c r="G472" s="37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 ht="11.25" customHeight="1">
      <c r="A473" s="29"/>
      <c r="B473" s="37"/>
      <c r="C473" s="29"/>
      <c r="D473" s="29"/>
      <c r="E473" s="37"/>
      <c r="F473" s="37"/>
      <c r="G473" s="37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 ht="11.25" customHeight="1">
      <c r="A474" s="29"/>
      <c r="B474" s="37"/>
      <c r="C474" s="29"/>
      <c r="D474" s="29"/>
      <c r="E474" s="37"/>
      <c r="F474" s="37"/>
      <c r="G474" s="37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 ht="11.25" customHeight="1">
      <c r="A475" s="29"/>
      <c r="B475" s="37"/>
      <c r="C475" s="29"/>
      <c r="D475" s="29"/>
      <c r="E475" s="37"/>
      <c r="F475" s="37"/>
      <c r="G475" s="37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 ht="11.25" customHeight="1">
      <c r="A476" s="29"/>
      <c r="B476" s="37"/>
      <c r="C476" s="29"/>
      <c r="D476" s="29"/>
      <c r="E476" s="37"/>
      <c r="F476" s="37"/>
      <c r="G476" s="37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 ht="11.25" customHeight="1">
      <c r="A477" s="29"/>
      <c r="B477" s="37"/>
      <c r="C477" s="29"/>
      <c r="D477" s="29"/>
      <c r="E477" s="37"/>
      <c r="F477" s="37"/>
      <c r="G477" s="37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 ht="11.25" customHeight="1">
      <c r="A478" s="29"/>
      <c r="B478" s="37"/>
      <c r="C478" s="29"/>
      <c r="D478" s="29"/>
      <c r="E478" s="37"/>
      <c r="F478" s="37"/>
      <c r="G478" s="37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 ht="11.25" customHeight="1">
      <c r="A479" s="29"/>
      <c r="B479" s="37"/>
      <c r="C479" s="29"/>
      <c r="D479" s="29"/>
      <c r="E479" s="37"/>
      <c r="F479" s="37"/>
      <c r="G479" s="37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 ht="11.25" customHeight="1">
      <c r="A480" s="29"/>
      <c r="B480" s="37"/>
      <c r="C480" s="29"/>
      <c r="D480" s="29"/>
      <c r="E480" s="37"/>
      <c r="F480" s="37"/>
      <c r="G480" s="37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 ht="11.25" customHeight="1">
      <c r="A481" s="29"/>
      <c r="B481" s="37"/>
      <c r="C481" s="29"/>
      <c r="D481" s="29"/>
      <c r="E481" s="37"/>
      <c r="F481" s="37"/>
      <c r="G481" s="37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 ht="11.25" customHeight="1">
      <c r="A482" s="29"/>
      <c r="B482" s="37"/>
      <c r="C482" s="29"/>
      <c r="D482" s="29"/>
      <c r="E482" s="37"/>
      <c r="F482" s="37"/>
      <c r="G482" s="37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 ht="11.25" customHeight="1">
      <c r="A483" s="29"/>
      <c r="B483" s="37"/>
      <c r="C483" s="29"/>
      <c r="D483" s="29"/>
      <c r="E483" s="37"/>
      <c r="F483" s="37"/>
      <c r="G483" s="37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 ht="11.25" customHeight="1">
      <c r="A484" s="29"/>
      <c r="B484" s="37"/>
      <c r="C484" s="29"/>
      <c r="D484" s="29"/>
      <c r="E484" s="37"/>
      <c r="F484" s="37"/>
      <c r="G484" s="37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 ht="11.25" customHeight="1">
      <c r="A485" s="29"/>
      <c r="B485" s="37"/>
      <c r="C485" s="29"/>
      <c r="D485" s="29"/>
      <c r="E485" s="37"/>
      <c r="F485" s="37"/>
      <c r="G485" s="37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 ht="11.25" customHeight="1">
      <c r="A486" s="29"/>
      <c r="B486" s="37"/>
      <c r="C486" s="29"/>
      <c r="D486" s="29"/>
      <c r="E486" s="37"/>
      <c r="F486" s="37"/>
      <c r="G486" s="37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 ht="11.25" customHeight="1">
      <c r="A487" s="29"/>
      <c r="B487" s="37"/>
      <c r="C487" s="29"/>
      <c r="D487" s="29"/>
      <c r="E487" s="37"/>
      <c r="F487" s="37"/>
      <c r="G487" s="37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 ht="11.25" customHeight="1">
      <c r="A488" s="29"/>
      <c r="B488" s="37"/>
      <c r="C488" s="29"/>
      <c r="D488" s="29"/>
      <c r="E488" s="37"/>
      <c r="F488" s="37"/>
      <c r="G488" s="37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 ht="11.25" customHeight="1">
      <c r="A489" s="29"/>
      <c r="B489" s="37"/>
      <c r="C489" s="29"/>
      <c r="D489" s="29"/>
      <c r="E489" s="37"/>
      <c r="F489" s="37"/>
      <c r="G489" s="37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 ht="11.25" customHeight="1">
      <c r="A490" s="29"/>
      <c r="B490" s="37"/>
      <c r="C490" s="29"/>
      <c r="D490" s="29"/>
      <c r="E490" s="37"/>
      <c r="F490" s="37"/>
      <c r="G490" s="37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 ht="11.25" customHeight="1">
      <c r="A491" s="29"/>
      <c r="B491" s="37"/>
      <c r="C491" s="29"/>
      <c r="D491" s="29"/>
      <c r="E491" s="37"/>
      <c r="F491" s="37"/>
      <c r="G491" s="37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 ht="11.25" customHeight="1">
      <c r="A492" s="29"/>
      <c r="B492" s="37"/>
      <c r="C492" s="29"/>
      <c r="D492" s="29"/>
      <c r="E492" s="37"/>
      <c r="F492" s="37"/>
      <c r="G492" s="37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 ht="11.25" customHeight="1">
      <c r="A493" s="29"/>
      <c r="B493" s="37"/>
      <c r="C493" s="29"/>
      <c r="D493" s="29"/>
      <c r="E493" s="37"/>
      <c r="F493" s="37"/>
      <c r="G493" s="37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 ht="11.25" customHeight="1">
      <c r="A494" s="29"/>
      <c r="B494" s="37"/>
      <c r="C494" s="29"/>
      <c r="D494" s="29"/>
      <c r="E494" s="37"/>
      <c r="F494" s="37"/>
      <c r="G494" s="37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 ht="11.25" customHeight="1">
      <c r="A495" s="29"/>
      <c r="B495" s="37"/>
      <c r="C495" s="29"/>
      <c r="D495" s="29"/>
      <c r="E495" s="37"/>
      <c r="F495" s="37"/>
      <c r="G495" s="37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 ht="11.25" customHeight="1">
      <c r="A496" s="29"/>
      <c r="B496" s="37"/>
      <c r="C496" s="29"/>
      <c r="D496" s="29"/>
      <c r="E496" s="37"/>
      <c r="F496" s="37"/>
      <c r="G496" s="37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 ht="11.25" customHeight="1">
      <c r="A497" s="29"/>
      <c r="B497" s="37"/>
      <c r="C497" s="29"/>
      <c r="D497" s="29"/>
      <c r="E497" s="37"/>
      <c r="F497" s="37"/>
      <c r="G497" s="37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 ht="11.25" customHeight="1">
      <c r="A498" s="29"/>
      <c r="B498" s="37"/>
      <c r="C498" s="29"/>
      <c r="D498" s="29"/>
      <c r="E498" s="37"/>
      <c r="F498" s="37"/>
      <c r="G498" s="37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 ht="11.25" customHeight="1">
      <c r="A499" s="29"/>
      <c r="B499" s="37"/>
      <c r="C499" s="29"/>
      <c r="D499" s="29"/>
      <c r="E499" s="37"/>
      <c r="F499" s="37"/>
      <c r="G499" s="37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 ht="11.25" customHeight="1">
      <c r="A500" s="29"/>
      <c r="B500" s="37"/>
      <c r="C500" s="29"/>
      <c r="D500" s="29"/>
      <c r="E500" s="37"/>
      <c r="F500" s="37"/>
      <c r="G500" s="37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 ht="11.25" customHeight="1">
      <c r="A501" s="29"/>
      <c r="B501" s="37"/>
      <c r="C501" s="29"/>
      <c r="D501" s="29"/>
      <c r="E501" s="37"/>
      <c r="F501" s="37"/>
      <c r="G501" s="37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 ht="11.25" customHeight="1">
      <c r="A502" s="29"/>
      <c r="B502" s="37"/>
      <c r="C502" s="29"/>
      <c r="D502" s="29"/>
      <c r="E502" s="37"/>
      <c r="F502" s="37"/>
      <c r="G502" s="37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 ht="11.25" customHeight="1">
      <c r="A503" s="29"/>
      <c r="B503" s="37"/>
      <c r="C503" s="29"/>
      <c r="D503" s="29"/>
      <c r="E503" s="37"/>
      <c r="F503" s="37"/>
      <c r="G503" s="37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 ht="11.25" customHeight="1">
      <c r="A504" s="29"/>
      <c r="B504" s="37"/>
      <c r="C504" s="29"/>
      <c r="D504" s="29"/>
      <c r="E504" s="37"/>
      <c r="F504" s="37"/>
      <c r="G504" s="37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 ht="11.25" customHeight="1">
      <c r="A505" s="29"/>
      <c r="B505" s="37"/>
      <c r="C505" s="29"/>
      <c r="D505" s="29"/>
      <c r="E505" s="37"/>
      <c r="F505" s="37"/>
      <c r="G505" s="37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 ht="11.25" customHeight="1">
      <c r="A506" s="29"/>
      <c r="B506" s="37"/>
      <c r="C506" s="29"/>
      <c r="D506" s="29"/>
      <c r="E506" s="37"/>
      <c r="F506" s="37"/>
      <c r="G506" s="37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 ht="11.25" customHeight="1">
      <c r="A507" s="29"/>
      <c r="B507" s="37"/>
      <c r="C507" s="29"/>
      <c r="D507" s="29"/>
      <c r="E507" s="37"/>
      <c r="F507" s="37"/>
      <c r="G507" s="37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 ht="11.25" customHeight="1">
      <c r="A508" s="29"/>
      <c r="B508" s="37"/>
      <c r="C508" s="29"/>
      <c r="D508" s="29"/>
      <c r="E508" s="37"/>
      <c r="F508" s="37"/>
      <c r="G508" s="37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 ht="11.25" customHeight="1">
      <c r="A509" s="29"/>
      <c r="B509" s="37"/>
      <c r="C509" s="29"/>
      <c r="D509" s="29"/>
      <c r="E509" s="37"/>
      <c r="F509" s="37"/>
      <c r="G509" s="37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 ht="11.25" customHeight="1">
      <c r="A510" s="29"/>
      <c r="B510" s="37"/>
      <c r="C510" s="29"/>
      <c r="D510" s="29"/>
      <c r="E510" s="37"/>
      <c r="F510" s="37"/>
      <c r="G510" s="37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 ht="11.25" customHeight="1">
      <c r="A511" s="29"/>
      <c r="B511" s="37"/>
      <c r="C511" s="29"/>
      <c r="D511" s="29"/>
      <c r="E511" s="37"/>
      <c r="F511" s="37"/>
      <c r="G511" s="37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 ht="11.25" customHeight="1">
      <c r="A512" s="29"/>
      <c r="B512" s="37"/>
      <c r="C512" s="29"/>
      <c r="D512" s="29"/>
      <c r="E512" s="37"/>
      <c r="F512" s="37"/>
      <c r="G512" s="37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 ht="11.25" customHeight="1">
      <c r="A513" s="29"/>
      <c r="B513" s="37"/>
      <c r="C513" s="29"/>
      <c r="D513" s="29"/>
      <c r="E513" s="37"/>
      <c r="F513" s="37"/>
      <c r="G513" s="37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 ht="11.25" customHeight="1">
      <c r="A514" s="29"/>
      <c r="B514" s="37"/>
      <c r="C514" s="29"/>
      <c r="D514" s="29"/>
      <c r="E514" s="37"/>
      <c r="F514" s="37"/>
      <c r="G514" s="37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 ht="11.25" customHeight="1">
      <c r="A515" s="29"/>
      <c r="B515" s="37"/>
      <c r="C515" s="29"/>
      <c r="D515" s="29"/>
      <c r="E515" s="37"/>
      <c r="F515" s="37"/>
      <c r="G515" s="37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 ht="11.25" customHeight="1">
      <c r="A516" s="29"/>
      <c r="B516" s="37"/>
      <c r="C516" s="29"/>
      <c r="D516" s="29"/>
      <c r="E516" s="37"/>
      <c r="F516" s="37"/>
      <c r="G516" s="37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 ht="11.25" customHeight="1">
      <c r="A517" s="29"/>
      <c r="B517" s="37"/>
      <c r="C517" s="29"/>
      <c r="D517" s="29"/>
      <c r="E517" s="37"/>
      <c r="F517" s="37"/>
      <c r="G517" s="37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 ht="11.25" customHeight="1">
      <c r="A518" s="29"/>
      <c r="B518" s="37"/>
      <c r="C518" s="29"/>
      <c r="D518" s="29"/>
      <c r="E518" s="37"/>
      <c r="F518" s="37"/>
      <c r="G518" s="37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 ht="11.25" customHeight="1">
      <c r="A519" s="29"/>
      <c r="B519" s="37"/>
      <c r="C519" s="29"/>
      <c r="D519" s="29"/>
      <c r="E519" s="37"/>
      <c r="F519" s="37"/>
      <c r="G519" s="37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 ht="11.25" customHeight="1">
      <c r="A520" s="29"/>
      <c r="B520" s="37"/>
      <c r="C520" s="29"/>
      <c r="D520" s="29"/>
      <c r="E520" s="37"/>
      <c r="F520" s="37"/>
      <c r="G520" s="37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 ht="11.25" customHeight="1">
      <c r="A521" s="29"/>
      <c r="B521" s="37"/>
      <c r="C521" s="29"/>
      <c r="D521" s="29"/>
      <c r="E521" s="37"/>
      <c r="F521" s="37"/>
      <c r="G521" s="37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 ht="11.25" customHeight="1">
      <c r="A522" s="29"/>
      <c r="B522" s="37"/>
      <c r="C522" s="29"/>
      <c r="D522" s="29"/>
      <c r="E522" s="37"/>
      <c r="F522" s="37"/>
      <c r="G522" s="37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 ht="11.25" customHeight="1">
      <c r="A523" s="29"/>
      <c r="B523" s="37"/>
      <c r="C523" s="29"/>
      <c r="D523" s="29"/>
      <c r="E523" s="37"/>
      <c r="F523" s="37"/>
      <c r="G523" s="37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 ht="11.25" customHeight="1">
      <c r="A524" s="29"/>
      <c r="B524" s="37"/>
      <c r="C524" s="29"/>
      <c r="D524" s="29"/>
      <c r="E524" s="37"/>
      <c r="F524" s="37"/>
      <c r="G524" s="37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 ht="11.25" customHeight="1">
      <c r="A525" s="29"/>
      <c r="B525" s="37"/>
      <c r="C525" s="29"/>
      <c r="D525" s="29"/>
      <c r="E525" s="37"/>
      <c r="F525" s="37"/>
      <c r="G525" s="37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 ht="11.25" customHeight="1">
      <c r="A526" s="29"/>
      <c r="B526" s="37"/>
      <c r="C526" s="29"/>
      <c r="D526" s="29"/>
      <c r="E526" s="37"/>
      <c r="F526" s="37"/>
      <c r="G526" s="37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 ht="11.25" customHeight="1">
      <c r="A527" s="29"/>
      <c r="B527" s="37"/>
      <c r="C527" s="29"/>
      <c r="D527" s="29"/>
      <c r="E527" s="37"/>
      <c r="F527" s="37"/>
      <c r="G527" s="37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 ht="11.25" customHeight="1">
      <c r="A528" s="29"/>
      <c r="B528" s="37"/>
      <c r="C528" s="29"/>
      <c r="D528" s="29"/>
      <c r="E528" s="37"/>
      <c r="F528" s="37"/>
      <c r="G528" s="37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 ht="11.25" customHeight="1">
      <c r="A529" s="29"/>
      <c r="B529" s="37"/>
      <c r="C529" s="29"/>
      <c r="D529" s="29"/>
      <c r="E529" s="37"/>
      <c r="F529" s="37"/>
      <c r="G529" s="37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 ht="11.25" customHeight="1">
      <c r="A530" s="29"/>
      <c r="B530" s="37"/>
      <c r="C530" s="29"/>
      <c r="D530" s="29"/>
      <c r="E530" s="37"/>
      <c r="F530" s="37"/>
      <c r="G530" s="37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 ht="11.25" customHeight="1">
      <c r="A531" s="29"/>
      <c r="B531" s="37"/>
      <c r="C531" s="29"/>
      <c r="D531" s="29"/>
      <c r="E531" s="37"/>
      <c r="F531" s="37"/>
      <c r="G531" s="37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 ht="11.25" customHeight="1">
      <c r="A532" s="29"/>
      <c r="B532" s="37"/>
      <c r="C532" s="29"/>
      <c r="D532" s="29"/>
      <c r="E532" s="37"/>
      <c r="F532" s="37"/>
      <c r="G532" s="37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 ht="11.25" customHeight="1">
      <c r="A533" s="29"/>
      <c r="B533" s="37"/>
      <c r="C533" s="29"/>
      <c r="D533" s="29"/>
      <c r="E533" s="37"/>
      <c r="F533" s="37"/>
      <c r="G533" s="37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 ht="11.25" customHeight="1">
      <c r="A534" s="29"/>
      <c r="B534" s="37"/>
      <c r="C534" s="29"/>
      <c r="D534" s="29"/>
      <c r="E534" s="37"/>
      <c r="F534" s="37"/>
      <c r="G534" s="37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 ht="11.25" customHeight="1">
      <c r="A535" s="29"/>
      <c r="B535" s="37"/>
      <c r="C535" s="29"/>
      <c r="D535" s="29"/>
      <c r="E535" s="37"/>
      <c r="F535" s="37"/>
      <c r="G535" s="37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 ht="11.25" customHeight="1">
      <c r="A536" s="29"/>
      <c r="B536" s="37"/>
      <c r="C536" s="29"/>
      <c r="D536" s="29"/>
      <c r="E536" s="37"/>
      <c r="F536" s="37"/>
      <c r="G536" s="37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 ht="11.25" customHeight="1">
      <c r="A537" s="29"/>
      <c r="B537" s="37"/>
      <c r="C537" s="29"/>
      <c r="D537" s="29"/>
      <c r="E537" s="37"/>
      <c r="F537" s="37"/>
      <c r="G537" s="37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 ht="11.25" customHeight="1">
      <c r="A538" s="29"/>
      <c r="B538" s="37"/>
      <c r="C538" s="29"/>
      <c r="D538" s="29"/>
      <c r="E538" s="37"/>
      <c r="F538" s="37"/>
      <c r="G538" s="37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 ht="11.25" customHeight="1">
      <c r="A539" s="29"/>
      <c r="B539" s="37"/>
      <c r="C539" s="29"/>
      <c r="D539" s="29"/>
      <c r="E539" s="37"/>
      <c r="F539" s="37"/>
      <c r="G539" s="37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 ht="11.25" customHeight="1">
      <c r="A540" s="29"/>
      <c r="B540" s="37"/>
      <c r="C540" s="29"/>
      <c r="D540" s="29"/>
      <c r="E540" s="37"/>
      <c r="F540" s="37"/>
      <c r="G540" s="37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 ht="11.25" customHeight="1">
      <c r="A541" s="29"/>
      <c r="B541" s="37"/>
      <c r="C541" s="29"/>
      <c r="D541" s="29"/>
      <c r="E541" s="37"/>
      <c r="F541" s="37"/>
      <c r="G541" s="37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 ht="11.25" customHeight="1">
      <c r="A542" s="29"/>
      <c r="B542" s="37"/>
      <c r="C542" s="29"/>
      <c r="D542" s="29"/>
      <c r="E542" s="37"/>
      <c r="F542" s="37"/>
      <c r="G542" s="37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 ht="11.25" customHeight="1">
      <c r="A543" s="29"/>
      <c r="B543" s="37"/>
      <c r="C543" s="29"/>
      <c r="D543" s="29"/>
      <c r="E543" s="37"/>
      <c r="F543" s="37"/>
      <c r="G543" s="37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 ht="11.25" customHeight="1">
      <c r="A544" s="29"/>
      <c r="B544" s="37"/>
      <c r="C544" s="29"/>
      <c r="D544" s="29"/>
      <c r="E544" s="37"/>
      <c r="F544" s="37"/>
      <c r="G544" s="37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 ht="11.25" customHeight="1">
      <c r="A545" s="29"/>
      <c r="B545" s="37"/>
      <c r="C545" s="29"/>
      <c r="D545" s="29"/>
      <c r="E545" s="37"/>
      <c r="F545" s="37"/>
      <c r="G545" s="37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 ht="11.25" customHeight="1">
      <c r="A546" s="29"/>
      <c r="B546" s="37"/>
      <c r="C546" s="29"/>
      <c r="D546" s="29"/>
      <c r="E546" s="37"/>
      <c r="F546" s="37"/>
      <c r="G546" s="37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 ht="11.25" customHeight="1">
      <c r="A547" s="29"/>
      <c r="B547" s="37"/>
      <c r="C547" s="29"/>
      <c r="D547" s="29"/>
      <c r="E547" s="37"/>
      <c r="F547" s="37"/>
      <c r="G547" s="37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 ht="11.25" customHeight="1">
      <c r="A548" s="29"/>
      <c r="B548" s="37"/>
      <c r="C548" s="29"/>
      <c r="D548" s="29"/>
      <c r="E548" s="37"/>
      <c r="F548" s="37"/>
      <c r="G548" s="37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 ht="11.25" customHeight="1">
      <c r="A549" s="29"/>
      <c r="B549" s="37"/>
      <c r="C549" s="29"/>
      <c r="D549" s="29"/>
      <c r="E549" s="37"/>
      <c r="F549" s="37"/>
      <c r="G549" s="37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 ht="11.25" customHeight="1">
      <c r="A550" s="29"/>
      <c r="B550" s="37"/>
      <c r="C550" s="29"/>
      <c r="D550" s="29"/>
      <c r="E550" s="37"/>
      <c r="F550" s="37"/>
      <c r="G550" s="37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 ht="11.25" customHeight="1">
      <c r="A551" s="29"/>
      <c r="B551" s="37"/>
      <c r="C551" s="29"/>
      <c r="D551" s="29"/>
      <c r="E551" s="37"/>
      <c r="F551" s="37"/>
      <c r="G551" s="37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 ht="11.25" customHeight="1">
      <c r="A552" s="29"/>
      <c r="B552" s="37"/>
      <c r="C552" s="29"/>
      <c r="D552" s="29"/>
      <c r="E552" s="37"/>
      <c r="F552" s="37"/>
      <c r="G552" s="37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 ht="11.25" customHeight="1">
      <c r="A553" s="29"/>
      <c r="B553" s="37"/>
      <c r="C553" s="29"/>
      <c r="D553" s="29"/>
      <c r="E553" s="37"/>
      <c r="F553" s="37"/>
      <c r="G553" s="37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 ht="11.25" customHeight="1">
      <c r="A554" s="29"/>
      <c r="B554" s="37"/>
      <c r="C554" s="29"/>
      <c r="D554" s="29"/>
      <c r="E554" s="37"/>
      <c r="F554" s="37"/>
      <c r="G554" s="37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 ht="11.25" customHeight="1">
      <c r="A555" s="29"/>
      <c r="B555" s="37"/>
      <c r="C555" s="29"/>
      <c r="D555" s="29"/>
      <c r="E555" s="37"/>
      <c r="F555" s="37"/>
      <c r="G555" s="37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 ht="11.25" customHeight="1">
      <c r="A556" s="29"/>
      <c r="B556" s="37"/>
      <c r="C556" s="29"/>
      <c r="D556" s="29"/>
      <c r="E556" s="37"/>
      <c r="F556" s="37"/>
      <c r="G556" s="37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 ht="11.25" customHeight="1">
      <c r="A557" s="29"/>
      <c r="B557" s="37"/>
      <c r="C557" s="29"/>
      <c r="D557" s="29"/>
      <c r="E557" s="37"/>
      <c r="F557" s="37"/>
      <c r="G557" s="37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 ht="11.25" customHeight="1">
      <c r="A558" s="29"/>
      <c r="B558" s="37"/>
      <c r="C558" s="29"/>
      <c r="D558" s="29"/>
      <c r="E558" s="37"/>
      <c r="F558" s="37"/>
      <c r="G558" s="37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 ht="11.25" customHeight="1">
      <c r="A559" s="29"/>
      <c r="B559" s="37"/>
      <c r="C559" s="29"/>
      <c r="D559" s="29"/>
      <c r="E559" s="37"/>
      <c r="F559" s="37"/>
      <c r="G559" s="37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 ht="11.25" customHeight="1">
      <c r="A560" s="29"/>
      <c r="B560" s="37"/>
      <c r="C560" s="29"/>
      <c r="D560" s="29"/>
      <c r="E560" s="37"/>
      <c r="F560" s="37"/>
      <c r="G560" s="37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 ht="11.25" customHeight="1">
      <c r="A561" s="29"/>
      <c r="B561" s="37"/>
      <c r="C561" s="29"/>
      <c r="D561" s="29"/>
      <c r="E561" s="37"/>
      <c r="F561" s="37"/>
      <c r="G561" s="37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 ht="11.25" customHeight="1">
      <c r="A562" s="29"/>
      <c r="B562" s="37"/>
      <c r="C562" s="29"/>
      <c r="D562" s="29"/>
      <c r="E562" s="37"/>
      <c r="F562" s="37"/>
      <c r="G562" s="37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 ht="11.25" customHeight="1">
      <c r="A563" s="29"/>
      <c r="B563" s="37"/>
      <c r="C563" s="29"/>
      <c r="D563" s="29"/>
      <c r="E563" s="37"/>
      <c r="F563" s="37"/>
      <c r="G563" s="37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 ht="11.25" customHeight="1">
      <c r="A564" s="29"/>
      <c r="B564" s="37"/>
      <c r="C564" s="29"/>
      <c r="D564" s="29"/>
      <c r="E564" s="37"/>
      <c r="F564" s="37"/>
      <c r="G564" s="37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 ht="11.25" customHeight="1">
      <c r="A565" s="29"/>
      <c r="B565" s="37"/>
      <c r="C565" s="29"/>
      <c r="D565" s="29"/>
      <c r="E565" s="37"/>
      <c r="F565" s="37"/>
      <c r="G565" s="37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 ht="11.25" customHeight="1">
      <c r="A566" s="29"/>
      <c r="B566" s="37"/>
      <c r="C566" s="29"/>
      <c r="D566" s="29"/>
      <c r="E566" s="37"/>
      <c r="F566" s="37"/>
      <c r="G566" s="37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 ht="11.25" customHeight="1">
      <c r="A567" s="29"/>
      <c r="B567" s="37"/>
      <c r="C567" s="29"/>
      <c r="D567" s="29"/>
      <c r="E567" s="37"/>
      <c r="F567" s="37"/>
      <c r="G567" s="37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 ht="11.25" customHeight="1">
      <c r="A568" s="29"/>
      <c r="B568" s="37"/>
      <c r="C568" s="29"/>
      <c r="D568" s="29"/>
      <c r="E568" s="37"/>
      <c r="F568" s="37"/>
      <c r="G568" s="37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 ht="11.25" customHeight="1">
      <c r="A569" s="29"/>
      <c r="B569" s="37"/>
      <c r="C569" s="29"/>
      <c r="D569" s="29"/>
      <c r="E569" s="37"/>
      <c r="F569" s="37"/>
      <c r="G569" s="37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 ht="11.25" customHeight="1">
      <c r="A570" s="29"/>
      <c r="B570" s="37"/>
      <c r="C570" s="29"/>
      <c r="D570" s="29"/>
      <c r="E570" s="37"/>
      <c r="F570" s="37"/>
      <c r="G570" s="37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 ht="11.25" customHeight="1">
      <c r="A571" s="29"/>
      <c r="B571" s="37"/>
      <c r="C571" s="29"/>
      <c r="D571" s="29"/>
      <c r="E571" s="37"/>
      <c r="F571" s="37"/>
      <c r="G571" s="37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 ht="11.25" customHeight="1">
      <c r="A572" s="29"/>
      <c r="B572" s="37"/>
      <c r="C572" s="29"/>
      <c r="D572" s="29"/>
      <c r="E572" s="37"/>
      <c r="F572" s="37"/>
      <c r="G572" s="37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 ht="11.25" customHeight="1">
      <c r="A573" s="29"/>
      <c r="B573" s="37"/>
      <c r="C573" s="29"/>
      <c r="D573" s="29"/>
      <c r="E573" s="37"/>
      <c r="F573" s="37"/>
      <c r="G573" s="37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 ht="11.25" customHeight="1">
      <c r="A574" s="29"/>
      <c r="B574" s="37"/>
      <c r="C574" s="29"/>
      <c r="D574" s="29"/>
      <c r="E574" s="37"/>
      <c r="F574" s="37"/>
      <c r="G574" s="37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 ht="11.25" customHeight="1">
      <c r="A575" s="29"/>
      <c r="B575" s="37"/>
      <c r="C575" s="29"/>
      <c r="D575" s="29"/>
      <c r="E575" s="37"/>
      <c r="F575" s="37"/>
      <c r="G575" s="37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 ht="11.25" customHeight="1">
      <c r="A576" s="29"/>
      <c r="B576" s="37"/>
      <c r="C576" s="29"/>
      <c r="D576" s="29"/>
      <c r="E576" s="37"/>
      <c r="F576" s="37"/>
      <c r="G576" s="37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 ht="11.25" customHeight="1">
      <c r="A577" s="29"/>
      <c r="B577" s="37"/>
      <c r="C577" s="29"/>
      <c r="D577" s="29"/>
      <c r="E577" s="37"/>
      <c r="F577" s="37"/>
      <c r="G577" s="37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 ht="11.25" customHeight="1">
      <c r="A578" s="29"/>
      <c r="B578" s="37"/>
      <c r="C578" s="29"/>
      <c r="D578" s="29"/>
      <c r="E578" s="37"/>
      <c r="F578" s="37"/>
      <c r="G578" s="37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 ht="11.25" customHeight="1">
      <c r="A579" s="29"/>
      <c r="B579" s="37"/>
      <c r="C579" s="29"/>
      <c r="D579" s="29"/>
      <c r="E579" s="37"/>
      <c r="F579" s="37"/>
      <c r="G579" s="37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 ht="11.25" customHeight="1">
      <c r="A580" s="29"/>
      <c r="B580" s="37"/>
      <c r="C580" s="29"/>
      <c r="D580" s="29"/>
      <c r="E580" s="37"/>
      <c r="F580" s="37"/>
      <c r="G580" s="37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 ht="11.25" customHeight="1">
      <c r="A581" s="29"/>
      <c r="B581" s="37"/>
      <c r="C581" s="29"/>
      <c r="D581" s="29"/>
      <c r="E581" s="37"/>
      <c r="F581" s="37"/>
      <c r="G581" s="37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 ht="11.25" customHeight="1">
      <c r="A582" s="29"/>
      <c r="B582" s="37"/>
      <c r="C582" s="29"/>
      <c r="D582" s="29"/>
      <c r="E582" s="37"/>
      <c r="F582" s="37"/>
      <c r="G582" s="37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 ht="11.25" customHeight="1">
      <c r="A583" s="29"/>
      <c r="B583" s="37"/>
      <c r="C583" s="29"/>
      <c r="D583" s="29"/>
      <c r="E583" s="37"/>
      <c r="F583" s="37"/>
      <c r="G583" s="37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 ht="11.25" customHeight="1">
      <c r="A584" s="29"/>
      <c r="B584" s="37"/>
      <c r="C584" s="29"/>
      <c r="D584" s="29"/>
      <c r="E584" s="37"/>
      <c r="F584" s="37"/>
      <c r="G584" s="37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 ht="11.25" customHeight="1">
      <c r="A585" s="29"/>
      <c r="B585" s="37"/>
      <c r="C585" s="29"/>
      <c r="D585" s="29"/>
      <c r="E585" s="37"/>
      <c r="F585" s="37"/>
      <c r="G585" s="37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 ht="11.25" customHeight="1">
      <c r="A586" s="29"/>
      <c r="B586" s="37"/>
      <c r="C586" s="29"/>
      <c r="D586" s="29"/>
      <c r="E586" s="37"/>
      <c r="F586" s="37"/>
      <c r="G586" s="37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 ht="11.25" customHeight="1">
      <c r="A587" s="29"/>
      <c r="B587" s="37"/>
      <c r="C587" s="29"/>
      <c r="D587" s="29"/>
      <c r="E587" s="37"/>
      <c r="F587" s="37"/>
      <c r="G587" s="37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 ht="11.25" customHeight="1">
      <c r="A588" s="29"/>
      <c r="B588" s="37"/>
      <c r="C588" s="29"/>
      <c r="D588" s="29"/>
      <c r="E588" s="37"/>
      <c r="F588" s="37"/>
      <c r="G588" s="37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 ht="11.25" customHeight="1">
      <c r="A589" s="29"/>
      <c r="B589" s="37"/>
      <c r="C589" s="29"/>
      <c r="D589" s="29"/>
      <c r="E589" s="37"/>
      <c r="F589" s="37"/>
      <c r="G589" s="37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 ht="11.25" customHeight="1">
      <c r="A590" s="29"/>
      <c r="B590" s="37"/>
      <c r="C590" s="29"/>
      <c r="D590" s="29"/>
      <c r="E590" s="37"/>
      <c r="F590" s="37"/>
      <c r="G590" s="37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 ht="11.25" customHeight="1">
      <c r="A591" s="29"/>
      <c r="B591" s="37"/>
      <c r="C591" s="29"/>
      <c r="D591" s="29"/>
      <c r="E591" s="37"/>
      <c r="F591" s="37"/>
      <c r="G591" s="37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 ht="11.25" customHeight="1">
      <c r="A592" s="29"/>
      <c r="B592" s="37"/>
      <c r="C592" s="29"/>
      <c r="D592" s="29"/>
      <c r="E592" s="37"/>
      <c r="F592" s="37"/>
      <c r="G592" s="37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 ht="11.25" customHeight="1">
      <c r="A593" s="29"/>
      <c r="B593" s="37"/>
      <c r="C593" s="29"/>
      <c r="D593" s="29"/>
      <c r="E593" s="37"/>
      <c r="F593" s="37"/>
      <c r="G593" s="37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 ht="11.25" customHeight="1">
      <c r="A594" s="29"/>
      <c r="B594" s="37"/>
      <c r="C594" s="29"/>
      <c r="D594" s="29"/>
      <c r="E594" s="37"/>
      <c r="F594" s="37"/>
      <c r="G594" s="37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 ht="11.25" customHeight="1">
      <c r="A595" s="29"/>
      <c r="B595" s="37"/>
      <c r="C595" s="29"/>
      <c r="D595" s="29"/>
      <c r="E595" s="37"/>
      <c r="F595" s="37"/>
      <c r="G595" s="37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 ht="11.25" customHeight="1">
      <c r="A596" s="29"/>
      <c r="B596" s="37"/>
      <c r="C596" s="29"/>
      <c r="D596" s="29"/>
      <c r="E596" s="37"/>
      <c r="F596" s="37"/>
      <c r="G596" s="37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 ht="11.25" customHeight="1">
      <c r="A597" s="29"/>
      <c r="B597" s="37"/>
      <c r="C597" s="29"/>
      <c r="D597" s="29"/>
      <c r="E597" s="37"/>
      <c r="F597" s="37"/>
      <c r="G597" s="37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 ht="11.25" customHeight="1">
      <c r="A598" s="29"/>
      <c r="B598" s="37"/>
      <c r="C598" s="29"/>
      <c r="D598" s="29"/>
      <c r="E598" s="37"/>
      <c r="F598" s="37"/>
      <c r="G598" s="37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 ht="11.25" customHeight="1">
      <c r="A599" s="29"/>
      <c r="B599" s="37"/>
      <c r="C599" s="29"/>
      <c r="D599" s="29"/>
      <c r="E599" s="37"/>
      <c r="F599" s="37"/>
      <c r="G599" s="37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 ht="11.25" customHeight="1">
      <c r="A600" s="29"/>
      <c r="B600" s="37"/>
      <c r="C600" s="29"/>
      <c r="D600" s="29"/>
      <c r="E600" s="37"/>
      <c r="F600" s="37"/>
      <c r="G600" s="37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 ht="11.25" customHeight="1">
      <c r="A601" s="29"/>
      <c r="B601" s="37"/>
      <c r="C601" s="29"/>
      <c r="D601" s="29"/>
      <c r="E601" s="37"/>
      <c r="F601" s="37"/>
      <c r="G601" s="37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 ht="11.25" customHeight="1">
      <c r="A602" s="29"/>
      <c r="B602" s="37"/>
      <c r="C602" s="29"/>
      <c r="D602" s="29"/>
      <c r="E602" s="37"/>
      <c r="F602" s="37"/>
      <c r="G602" s="37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 ht="11.25" customHeight="1">
      <c r="A603" s="29"/>
      <c r="B603" s="37"/>
      <c r="C603" s="29"/>
      <c r="D603" s="29"/>
      <c r="E603" s="37"/>
      <c r="F603" s="37"/>
      <c r="G603" s="37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 ht="11.25" customHeight="1">
      <c r="A604" s="29"/>
      <c r="B604" s="37"/>
      <c r="C604" s="29"/>
      <c r="D604" s="29"/>
      <c r="E604" s="37"/>
      <c r="F604" s="37"/>
      <c r="G604" s="37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 ht="11.25" customHeight="1">
      <c r="A605" s="29"/>
      <c r="B605" s="37"/>
      <c r="C605" s="29"/>
      <c r="D605" s="29"/>
      <c r="E605" s="37"/>
      <c r="F605" s="37"/>
      <c r="G605" s="37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 ht="11.25" customHeight="1">
      <c r="A606" s="29"/>
      <c r="B606" s="37"/>
      <c r="C606" s="29"/>
      <c r="D606" s="29"/>
      <c r="E606" s="37"/>
      <c r="F606" s="37"/>
      <c r="G606" s="37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 ht="11.25" customHeight="1">
      <c r="A607" s="29"/>
      <c r="B607" s="37"/>
      <c r="C607" s="29"/>
      <c r="D607" s="29"/>
      <c r="E607" s="37"/>
      <c r="F607" s="37"/>
      <c r="G607" s="37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 ht="11.25" customHeight="1">
      <c r="A608" s="29"/>
      <c r="B608" s="37"/>
      <c r="C608" s="29"/>
      <c r="D608" s="29"/>
      <c r="E608" s="37"/>
      <c r="F608" s="37"/>
      <c r="G608" s="37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 ht="11.25" customHeight="1">
      <c r="A609" s="29"/>
      <c r="B609" s="37"/>
      <c r="C609" s="29"/>
      <c r="D609" s="29"/>
      <c r="E609" s="37"/>
      <c r="F609" s="37"/>
      <c r="G609" s="37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 ht="11.25" customHeight="1">
      <c r="A610" s="29"/>
      <c r="B610" s="37"/>
      <c r="C610" s="29"/>
      <c r="D610" s="29"/>
      <c r="E610" s="37"/>
      <c r="F610" s="37"/>
      <c r="G610" s="37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 ht="11.25" customHeight="1">
      <c r="A611" s="29"/>
      <c r="B611" s="37"/>
      <c r="C611" s="29"/>
      <c r="D611" s="29"/>
      <c r="E611" s="37"/>
      <c r="F611" s="37"/>
      <c r="G611" s="37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 ht="11.25" customHeight="1">
      <c r="A612" s="29"/>
      <c r="B612" s="37"/>
      <c r="C612" s="29"/>
      <c r="D612" s="29"/>
      <c r="E612" s="37"/>
      <c r="F612" s="37"/>
      <c r="G612" s="37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 ht="11.25" customHeight="1">
      <c r="A613" s="29"/>
      <c r="B613" s="37"/>
      <c r="C613" s="29"/>
      <c r="D613" s="29"/>
      <c r="E613" s="37"/>
      <c r="F613" s="37"/>
      <c r="G613" s="37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 ht="11.25" customHeight="1">
      <c r="A614" s="29"/>
      <c r="B614" s="37"/>
      <c r="C614" s="29"/>
      <c r="D614" s="29"/>
      <c r="E614" s="37"/>
      <c r="F614" s="37"/>
      <c r="G614" s="37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 ht="11.25" customHeight="1">
      <c r="A615" s="29"/>
      <c r="B615" s="37"/>
      <c r="C615" s="29"/>
      <c r="D615" s="29"/>
      <c r="E615" s="37"/>
      <c r="F615" s="37"/>
      <c r="G615" s="37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 ht="11.25" customHeight="1">
      <c r="A616" s="29"/>
      <c r="B616" s="37"/>
      <c r="C616" s="29"/>
      <c r="D616" s="29"/>
      <c r="E616" s="37"/>
      <c r="F616" s="37"/>
      <c r="G616" s="37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 ht="11.25" customHeight="1">
      <c r="A617" s="29"/>
      <c r="B617" s="37"/>
      <c r="C617" s="29"/>
      <c r="D617" s="29"/>
      <c r="E617" s="37"/>
      <c r="F617" s="37"/>
      <c r="G617" s="37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 ht="11.25" customHeight="1">
      <c r="A618" s="29"/>
      <c r="B618" s="37"/>
      <c r="C618" s="29"/>
      <c r="D618" s="29"/>
      <c r="E618" s="37"/>
      <c r="F618" s="37"/>
      <c r="G618" s="37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 ht="11.25" customHeight="1">
      <c r="A619" s="29"/>
      <c r="B619" s="37"/>
      <c r="C619" s="29"/>
      <c r="D619" s="29"/>
      <c r="E619" s="37"/>
      <c r="F619" s="37"/>
      <c r="G619" s="37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 ht="11.25" customHeight="1">
      <c r="A620" s="29"/>
      <c r="B620" s="37"/>
      <c r="C620" s="29"/>
      <c r="D620" s="29"/>
      <c r="E620" s="37"/>
      <c r="F620" s="37"/>
      <c r="G620" s="37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 ht="11.25" customHeight="1">
      <c r="A621" s="29"/>
      <c r="B621" s="37"/>
      <c r="C621" s="29"/>
      <c r="D621" s="29"/>
      <c r="E621" s="37"/>
      <c r="F621" s="37"/>
      <c r="G621" s="37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 ht="11.25" customHeight="1">
      <c r="A622" s="29"/>
      <c r="B622" s="37"/>
      <c r="C622" s="29"/>
      <c r="D622" s="29"/>
      <c r="E622" s="37"/>
      <c r="F622" s="37"/>
      <c r="G622" s="37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 ht="11.25" customHeight="1">
      <c r="A623" s="29"/>
      <c r="B623" s="37"/>
      <c r="C623" s="29"/>
      <c r="D623" s="29"/>
      <c r="E623" s="37"/>
      <c r="F623" s="37"/>
      <c r="G623" s="37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 ht="11.25" customHeight="1">
      <c r="A624" s="29"/>
      <c r="B624" s="37"/>
      <c r="C624" s="29"/>
      <c r="D624" s="29"/>
      <c r="E624" s="37"/>
      <c r="F624" s="37"/>
      <c r="G624" s="37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 ht="11.25" customHeight="1">
      <c r="A625" s="29"/>
      <c r="B625" s="37"/>
      <c r="C625" s="29"/>
      <c r="D625" s="29"/>
      <c r="E625" s="37"/>
      <c r="F625" s="37"/>
      <c r="G625" s="37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 ht="11.25" customHeight="1">
      <c r="A626" s="29"/>
      <c r="B626" s="37"/>
      <c r="C626" s="29"/>
      <c r="D626" s="29"/>
      <c r="E626" s="37"/>
      <c r="F626" s="37"/>
      <c r="G626" s="37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 ht="11.25" customHeight="1">
      <c r="A627" s="29"/>
      <c r="B627" s="37"/>
      <c r="C627" s="29"/>
      <c r="D627" s="29"/>
      <c r="E627" s="37"/>
      <c r="F627" s="37"/>
      <c r="G627" s="37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 ht="11.25" customHeight="1">
      <c r="A628" s="29"/>
      <c r="B628" s="37"/>
      <c r="C628" s="29"/>
      <c r="D628" s="29"/>
      <c r="E628" s="37"/>
      <c r="F628" s="37"/>
      <c r="G628" s="37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 ht="11.25" customHeight="1">
      <c r="A629" s="29"/>
      <c r="B629" s="37"/>
      <c r="C629" s="29"/>
      <c r="D629" s="29"/>
      <c r="E629" s="37"/>
      <c r="F629" s="37"/>
      <c r="G629" s="37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 ht="11.25" customHeight="1">
      <c r="A630" s="29"/>
      <c r="B630" s="37"/>
      <c r="C630" s="29"/>
      <c r="D630" s="29"/>
      <c r="E630" s="37"/>
      <c r="F630" s="37"/>
      <c r="G630" s="37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 ht="11.25" customHeight="1">
      <c r="A631" s="29"/>
      <c r="B631" s="37"/>
      <c r="C631" s="29"/>
      <c r="D631" s="29"/>
      <c r="E631" s="37"/>
      <c r="F631" s="37"/>
      <c r="G631" s="37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 ht="11.25" customHeight="1">
      <c r="A632" s="29"/>
      <c r="B632" s="37"/>
      <c r="C632" s="29"/>
      <c r="D632" s="29"/>
      <c r="E632" s="37"/>
      <c r="F632" s="37"/>
      <c r="G632" s="37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 ht="11.25" customHeight="1">
      <c r="A633" s="29"/>
      <c r="B633" s="37"/>
      <c r="C633" s="29"/>
      <c r="D633" s="29"/>
      <c r="E633" s="37"/>
      <c r="F633" s="37"/>
      <c r="G633" s="37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 ht="11.25" customHeight="1">
      <c r="A634" s="29"/>
      <c r="B634" s="37"/>
      <c r="C634" s="29"/>
      <c r="D634" s="29"/>
      <c r="E634" s="37"/>
      <c r="F634" s="37"/>
      <c r="G634" s="37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 ht="11.25" customHeight="1">
      <c r="A635" s="29"/>
      <c r="B635" s="37"/>
      <c r="C635" s="29"/>
      <c r="D635" s="29"/>
      <c r="E635" s="37"/>
      <c r="F635" s="37"/>
      <c r="G635" s="37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 ht="11.25" customHeight="1">
      <c r="A636" s="29"/>
      <c r="B636" s="37"/>
      <c r="C636" s="29"/>
      <c r="D636" s="29"/>
      <c r="E636" s="37"/>
      <c r="F636" s="37"/>
      <c r="G636" s="37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 ht="11.25" customHeight="1">
      <c r="A637" s="29"/>
      <c r="B637" s="37"/>
      <c r="C637" s="29"/>
      <c r="D637" s="29"/>
      <c r="E637" s="37"/>
      <c r="F637" s="37"/>
      <c r="G637" s="37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 ht="11.25" customHeight="1">
      <c r="A638" s="29"/>
      <c r="B638" s="37"/>
      <c r="C638" s="29"/>
      <c r="D638" s="29"/>
      <c r="E638" s="37"/>
      <c r="F638" s="37"/>
      <c r="G638" s="37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 ht="11.25" customHeight="1">
      <c r="A639" s="29"/>
      <c r="B639" s="37"/>
      <c r="C639" s="29"/>
      <c r="D639" s="29"/>
      <c r="E639" s="37"/>
      <c r="F639" s="37"/>
      <c r="G639" s="37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 ht="11.25" customHeight="1">
      <c r="A640" s="29"/>
      <c r="B640" s="37"/>
      <c r="C640" s="29"/>
      <c r="D640" s="29"/>
      <c r="E640" s="37"/>
      <c r="F640" s="37"/>
      <c r="G640" s="37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 ht="11.25" customHeight="1">
      <c r="A641" s="29"/>
      <c r="B641" s="37"/>
      <c r="C641" s="29"/>
      <c r="D641" s="29"/>
      <c r="E641" s="37"/>
      <c r="F641" s="37"/>
      <c r="G641" s="37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 ht="11.25" customHeight="1">
      <c r="A642" s="29"/>
      <c r="B642" s="37"/>
      <c r="C642" s="29"/>
      <c r="D642" s="29"/>
      <c r="E642" s="37"/>
      <c r="F642" s="37"/>
      <c r="G642" s="37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 ht="11.25" customHeight="1">
      <c r="A643" s="29"/>
      <c r="B643" s="37"/>
      <c r="C643" s="29"/>
      <c r="D643" s="29"/>
      <c r="E643" s="37"/>
      <c r="F643" s="37"/>
      <c r="G643" s="37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 ht="11.25" customHeight="1">
      <c r="A644" s="29"/>
      <c r="B644" s="37"/>
      <c r="C644" s="29"/>
      <c r="D644" s="29"/>
      <c r="E644" s="37"/>
      <c r="F644" s="37"/>
      <c r="G644" s="37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 ht="11.25" customHeight="1">
      <c r="A645" s="29"/>
      <c r="B645" s="37"/>
      <c r="C645" s="29"/>
      <c r="D645" s="29"/>
      <c r="E645" s="37"/>
      <c r="F645" s="37"/>
      <c r="G645" s="37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 ht="11.25" customHeight="1">
      <c r="A646" s="29"/>
      <c r="B646" s="37"/>
      <c r="C646" s="29"/>
      <c r="D646" s="29"/>
      <c r="E646" s="37"/>
      <c r="F646" s="37"/>
      <c r="G646" s="37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 ht="11.25" customHeight="1">
      <c r="A647" s="29"/>
      <c r="B647" s="37"/>
      <c r="C647" s="29"/>
      <c r="D647" s="29"/>
      <c r="E647" s="37"/>
      <c r="F647" s="37"/>
      <c r="G647" s="37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 ht="11.25" customHeight="1">
      <c r="A648" s="29"/>
      <c r="B648" s="37"/>
      <c r="C648" s="29"/>
      <c r="D648" s="29"/>
      <c r="E648" s="37"/>
      <c r="F648" s="37"/>
      <c r="G648" s="37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 ht="11.25" customHeight="1">
      <c r="A649" s="29"/>
      <c r="B649" s="37"/>
      <c r="C649" s="29"/>
      <c r="D649" s="29"/>
      <c r="E649" s="37"/>
      <c r="F649" s="37"/>
      <c r="G649" s="37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 ht="11.25" customHeight="1">
      <c r="A650" s="29"/>
      <c r="B650" s="37"/>
      <c r="C650" s="29"/>
      <c r="D650" s="29"/>
      <c r="E650" s="37"/>
      <c r="F650" s="37"/>
      <c r="G650" s="37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 ht="11.25" customHeight="1">
      <c r="A651" s="29"/>
      <c r="B651" s="37"/>
      <c r="C651" s="29"/>
      <c r="D651" s="29"/>
      <c r="E651" s="37"/>
      <c r="F651" s="37"/>
      <c r="G651" s="37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 ht="11.25" customHeight="1">
      <c r="A652" s="29"/>
      <c r="B652" s="37"/>
      <c r="C652" s="29"/>
      <c r="D652" s="29"/>
      <c r="E652" s="37"/>
      <c r="F652" s="37"/>
      <c r="G652" s="37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 ht="11.25" customHeight="1">
      <c r="A653" s="29"/>
      <c r="B653" s="37"/>
      <c r="C653" s="29"/>
      <c r="D653" s="29"/>
      <c r="E653" s="37"/>
      <c r="F653" s="37"/>
      <c r="G653" s="37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 ht="11.25" customHeight="1">
      <c r="A654" s="29"/>
      <c r="B654" s="37"/>
      <c r="C654" s="29"/>
      <c r="D654" s="29"/>
      <c r="E654" s="37"/>
      <c r="F654" s="37"/>
      <c r="G654" s="37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 ht="11.25" customHeight="1">
      <c r="A655" s="29"/>
      <c r="B655" s="37"/>
      <c r="C655" s="29"/>
      <c r="D655" s="29"/>
      <c r="E655" s="37"/>
      <c r="F655" s="37"/>
      <c r="G655" s="37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 ht="11.25" customHeight="1">
      <c r="A656" s="29"/>
      <c r="B656" s="37"/>
      <c r="C656" s="29"/>
      <c r="D656" s="29"/>
      <c r="E656" s="37"/>
      <c r="F656" s="37"/>
      <c r="G656" s="37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 ht="11.25" customHeight="1">
      <c r="A657" s="29"/>
      <c r="B657" s="37"/>
      <c r="C657" s="29"/>
      <c r="D657" s="29"/>
      <c r="E657" s="37"/>
      <c r="F657" s="37"/>
      <c r="G657" s="37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 ht="11.25" customHeight="1">
      <c r="A658" s="29"/>
      <c r="B658" s="37"/>
      <c r="C658" s="29"/>
      <c r="D658" s="29"/>
      <c r="E658" s="37"/>
      <c r="F658" s="37"/>
      <c r="G658" s="37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 ht="11.25" customHeight="1">
      <c r="A659" s="29"/>
      <c r="B659" s="37"/>
      <c r="C659" s="29"/>
      <c r="D659" s="29"/>
      <c r="E659" s="37"/>
      <c r="F659" s="37"/>
      <c r="G659" s="37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 ht="11.25" customHeight="1">
      <c r="A660" s="29"/>
      <c r="B660" s="37"/>
      <c r="C660" s="29"/>
      <c r="D660" s="29"/>
      <c r="E660" s="37"/>
      <c r="F660" s="37"/>
      <c r="G660" s="37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 ht="11.25" customHeight="1">
      <c r="A661" s="29"/>
      <c r="B661" s="37"/>
      <c r="C661" s="29"/>
      <c r="D661" s="29"/>
      <c r="E661" s="37"/>
      <c r="F661" s="37"/>
      <c r="G661" s="37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 ht="11.25" customHeight="1">
      <c r="A662" s="29"/>
      <c r="B662" s="37"/>
      <c r="C662" s="29"/>
      <c r="D662" s="29"/>
      <c r="E662" s="37"/>
      <c r="F662" s="37"/>
      <c r="G662" s="37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 ht="11.25" customHeight="1">
      <c r="A663" s="29"/>
      <c r="B663" s="37"/>
      <c r="C663" s="29"/>
      <c r="D663" s="29"/>
      <c r="E663" s="37"/>
      <c r="F663" s="37"/>
      <c r="G663" s="37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 ht="11.25" customHeight="1">
      <c r="A664" s="29"/>
      <c r="B664" s="37"/>
      <c r="C664" s="29"/>
      <c r="D664" s="29"/>
      <c r="E664" s="37"/>
      <c r="F664" s="37"/>
      <c r="G664" s="37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 ht="11.25" customHeight="1">
      <c r="A665" s="29"/>
      <c r="B665" s="37"/>
      <c r="C665" s="29"/>
      <c r="D665" s="29"/>
      <c r="E665" s="37"/>
      <c r="F665" s="37"/>
      <c r="G665" s="37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 ht="11.25" customHeight="1">
      <c r="A666" s="29"/>
      <c r="B666" s="37"/>
      <c r="C666" s="29"/>
      <c r="D666" s="29"/>
      <c r="E666" s="37"/>
      <c r="F666" s="37"/>
      <c r="G666" s="37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 ht="11.25" customHeight="1">
      <c r="A667" s="29"/>
      <c r="B667" s="37"/>
      <c r="C667" s="29"/>
      <c r="D667" s="29"/>
      <c r="E667" s="37"/>
      <c r="F667" s="37"/>
      <c r="G667" s="37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 ht="11.25" customHeight="1">
      <c r="A668" s="29"/>
      <c r="B668" s="37"/>
      <c r="C668" s="29"/>
      <c r="D668" s="29"/>
      <c r="E668" s="37"/>
      <c r="F668" s="37"/>
      <c r="G668" s="37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 ht="11.25" customHeight="1">
      <c r="A669" s="29"/>
      <c r="B669" s="37"/>
      <c r="C669" s="29"/>
      <c r="D669" s="29"/>
      <c r="E669" s="37"/>
      <c r="F669" s="37"/>
      <c r="G669" s="37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 ht="11.25" customHeight="1">
      <c r="A670" s="29"/>
      <c r="B670" s="37"/>
      <c r="C670" s="29"/>
      <c r="D670" s="29"/>
      <c r="E670" s="37"/>
      <c r="F670" s="37"/>
      <c r="G670" s="37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 ht="11.25" customHeight="1">
      <c r="A671" s="29"/>
      <c r="B671" s="37"/>
      <c r="C671" s="29"/>
      <c r="D671" s="29"/>
      <c r="E671" s="37"/>
      <c r="F671" s="37"/>
      <c r="G671" s="37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 ht="11.25" customHeight="1">
      <c r="A672" s="29"/>
      <c r="B672" s="37"/>
      <c r="C672" s="29"/>
      <c r="D672" s="29"/>
      <c r="E672" s="37"/>
      <c r="F672" s="37"/>
      <c r="G672" s="37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 ht="11.25" customHeight="1">
      <c r="A673" s="29"/>
      <c r="B673" s="37"/>
      <c r="C673" s="29"/>
      <c r="D673" s="29"/>
      <c r="E673" s="37"/>
      <c r="F673" s="37"/>
      <c r="G673" s="37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 ht="11.25" customHeight="1">
      <c r="A674" s="29"/>
      <c r="B674" s="37"/>
      <c r="C674" s="29"/>
      <c r="D674" s="29"/>
      <c r="E674" s="37"/>
      <c r="F674" s="37"/>
      <c r="G674" s="37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 ht="11.25" customHeight="1">
      <c r="A675" s="29"/>
      <c r="B675" s="37"/>
      <c r="C675" s="29"/>
      <c r="D675" s="29"/>
      <c r="E675" s="37"/>
      <c r="F675" s="37"/>
      <c r="G675" s="37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 ht="11.25" customHeight="1">
      <c r="A676" s="29"/>
      <c r="B676" s="37"/>
      <c r="C676" s="29"/>
      <c r="D676" s="29"/>
      <c r="E676" s="37"/>
      <c r="F676" s="37"/>
      <c r="G676" s="37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 ht="11.25" customHeight="1">
      <c r="A677" s="29"/>
      <c r="B677" s="37"/>
      <c r="C677" s="29"/>
      <c r="D677" s="29"/>
      <c r="E677" s="37"/>
      <c r="F677" s="37"/>
      <c r="G677" s="37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 ht="11.25" customHeight="1">
      <c r="A678" s="29"/>
      <c r="B678" s="37"/>
      <c r="C678" s="29"/>
      <c r="D678" s="29"/>
      <c r="E678" s="37"/>
      <c r="F678" s="37"/>
      <c r="G678" s="37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 ht="11.25" customHeight="1">
      <c r="A679" s="29"/>
      <c r="B679" s="37"/>
      <c r="C679" s="29"/>
      <c r="D679" s="29"/>
      <c r="E679" s="37"/>
      <c r="F679" s="37"/>
      <c r="G679" s="37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 ht="11.25" customHeight="1">
      <c r="A680" s="29"/>
      <c r="B680" s="37"/>
      <c r="C680" s="29"/>
      <c r="D680" s="29"/>
      <c r="E680" s="37"/>
      <c r="F680" s="37"/>
      <c r="G680" s="37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 ht="11.25" customHeight="1">
      <c r="A681" s="29"/>
      <c r="B681" s="37"/>
      <c r="C681" s="29"/>
      <c r="D681" s="29"/>
      <c r="E681" s="37"/>
      <c r="F681" s="37"/>
      <c r="G681" s="37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 ht="11.25" customHeight="1">
      <c r="A682" s="29"/>
      <c r="B682" s="37"/>
      <c r="C682" s="29"/>
      <c r="D682" s="29"/>
      <c r="E682" s="37"/>
      <c r="F682" s="37"/>
      <c r="G682" s="37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 ht="11.25" customHeight="1">
      <c r="A683" s="29"/>
      <c r="B683" s="37"/>
      <c r="C683" s="29"/>
      <c r="D683" s="29"/>
      <c r="E683" s="37"/>
      <c r="F683" s="37"/>
      <c r="G683" s="37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 ht="11.25" customHeight="1">
      <c r="A684" s="29"/>
      <c r="B684" s="37"/>
      <c r="C684" s="29"/>
      <c r="D684" s="29"/>
      <c r="E684" s="37"/>
      <c r="F684" s="37"/>
      <c r="G684" s="37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 ht="11.25" customHeight="1">
      <c r="A685" s="29"/>
      <c r="B685" s="37"/>
      <c r="C685" s="29"/>
      <c r="D685" s="29"/>
      <c r="E685" s="37"/>
      <c r="F685" s="37"/>
      <c r="G685" s="37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 ht="11.25" customHeight="1">
      <c r="A686" s="29"/>
      <c r="B686" s="37"/>
      <c r="C686" s="29"/>
      <c r="D686" s="29"/>
      <c r="E686" s="37"/>
      <c r="F686" s="37"/>
      <c r="G686" s="37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 ht="11.25" customHeight="1">
      <c r="A687" s="29"/>
      <c r="B687" s="37"/>
      <c r="C687" s="29"/>
      <c r="D687" s="29"/>
      <c r="E687" s="37"/>
      <c r="F687" s="37"/>
      <c r="G687" s="37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 ht="11.25" customHeight="1">
      <c r="A688" s="29"/>
      <c r="B688" s="37"/>
      <c r="C688" s="29"/>
      <c r="D688" s="29"/>
      <c r="E688" s="37"/>
      <c r="F688" s="37"/>
      <c r="G688" s="37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 ht="11.25" customHeight="1">
      <c r="A689" s="29"/>
      <c r="B689" s="37"/>
      <c r="C689" s="29"/>
      <c r="D689" s="29"/>
      <c r="E689" s="37"/>
      <c r="F689" s="37"/>
      <c r="G689" s="37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 ht="11.25" customHeight="1">
      <c r="A690" s="29"/>
      <c r="B690" s="37"/>
      <c r="C690" s="29"/>
      <c r="D690" s="29"/>
      <c r="E690" s="37"/>
      <c r="F690" s="37"/>
      <c r="G690" s="37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 ht="11.25" customHeight="1">
      <c r="A691" s="29"/>
      <c r="B691" s="37"/>
      <c r="C691" s="29"/>
      <c r="D691" s="29"/>
      <c r="E691" s="37"/>
      <c r="F691" s="37"/>
      <c r="G691" s="37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 ht="11.25" customHeight="1">
      <c r="A692" s="29"/>
      <c r="B692" s="37"/>
      <c r="C692" s="29"/>
      <c r="D692" s="29"/>
      <c r="E692" s="37"/>
      <c r="F692" s="37"/>
      <c r="G692" s="37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 ht="11.25" customHeight="1">
      <c r="A693" s="29"/>
      <c r="B693" s="37"/>
      <c r="C693" s="29"/>
      <c r="D693" s="29"/>
      <c r="E693" s="37"/>
      <c r="F693" s="37"/>
      <c r="G693" s="37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 ht="11.25" customHeight="1">
      <c r="A694" s="29"/>
      <c r="B694" s="37"/>
      <c r="C694" s="29"/>
      <c r="D694" s="29"/>
      <c r="E694" s="37"/>
      <c r="F694" s="37"/>
      <c r="G694" s="37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 ht="11.25" customHeight="1">
      <c r="A695" s="29"/>
      <c r="B695" s="37"/>
      <c r="C695" s="29"/>
      <c r="D695" s="29"/>
      <c r="E695" s="37"/>
      <c r="F695" s="37"/>
      <c r="G695" s="37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 ht="11.25" customHeight="1">
      <c r="A696" s="29"/>
      <c r="B696" s="37"/>
      <c r="C696" s="29"/>
      <c r="D696" s="29"/>
      <c r="E696" s="37"/>
      <c r="F696" s="37"/>
      <c r="G696" s="37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 ht="11.25" customHeight="1">
      <c r="A697" s="29"/>
      <c r="B697" s="37"/>
      <c r="C697" s="29"/>
      <c r="D697" s="29"/>
      <c r="E697" s="37"/>
      <c r="F697" s="37"/>
      <c r="G697" s="37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 ht="11.25" customHeight="1">
      <c r="A698" s="29"/>
      <c r="B698" s="37"/>
      <c r="C698" s="29"/>
      <c r="D698" s="29"/>
      <c r="E698" s="37"/>
      <c r="F698" s="37"/>
      <c r="G698" s="37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 ht="11.25" customHeight="1">
      <c r="A699" s="29"/>
      <c r="B699" s="37"/>
      <c r="C699" s="29"/>
      <c r="D699" s="29"/>
      <c r="E699" s="37"/>
      <c r="F699" s="37"/>
      <c r="G699" s="37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 ht="11.25" customHeight="1">
      <c r="A700" s="29"/>
      <c r="B700" s="37"/>
      <c r="C700" s="29"/>
      <c r="D700" s="29"/>
      <c r="E700" s="37"/>
      <c r="F700" s="37"/>
      <c r="G700" s="37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 ht="11.25" customHeight="1">
      <c r="A701" s="29"/>
      <c r="B701" s="37"/>
      <c r="C701" s="29"/>
      <c r="D701" s="29"/>
      <c r="E701" s="37"/>
      <c r="F701" s="37"/>
      <c r="G701" s="37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 ht="11.25" customHeight="1">
      <c r="A702" s="29"/>
      <c r="B702" s="37"/>
      <c r="C702" s="29"/>
      <c r="D702" s="29"/>
      <c r="E702" s="37"/>
      <c r="F702" s="37"/>
      <c r="G702" s="37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 ht="11.25" customHeight="1">
      <c r="A703" s="29"/>
      <c r="B703" s="37"/>
      <c r="C703" s="29"/>
      <c r="D703" s="29"/>
      <c r="E703" s="37"/>
      <c r="F703" s="37"/>
      <c r="G703" s="37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 ht="11.25" customHeight="1">
      <c r="A704" s="29"/>
      <c r="B704" s="37"/>
      <c r="C704" s="29"/>
      <c r="D704" s="29"/>
      <c r="E704" s="37"/>
      <c r="F704" s="37"/>
      <c r="G704" s="37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 ht="11.25" customHeight="1">
      <c r="A705" s="29"/>
      <c r="B705" s="37"/>
      <c r="C705" s="29"/>
      <c r="D705" s="29"/>
      <c r="E705" s="37"/>
      <c r="F705" s="37"/>
      <c r="G705" s="37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 ht="11.25" customHeight="1">
      <c r="A706" s="29"/>
      <c r="B706" s="37"/>
      <c r="C706" s="29"/>
      <c r="D706" s="29"/>
      <c r="E706" s="37"/>
      <c r="F706" s="37"/>
      <c r="G706" s="37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 ht="11.25" customHeight="1">
      <c r="A707" s="29"/>
      <c r="B707" s="37"/>
      <c r="C707" s="29"/>
      <c r="D707" s="29"/>
      <c r="E707" s="37"/>
      <c r="F707" s="37"/>
      <c r="G707" s="37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 ht="11.25" customHeight="1">
      <c r="A708" s="29"/>
      <c r="B708" s="37"/>
      <c r="C708" s="29"/>
      <c r="D708" s="29"/>
      <c r="E708" s="37"/>
      <c r="F708" s="37"/>
      <c r="G708" s="37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 ht="11.25" customHeight="1">
      <c r="A709" s="29"/>
      <c r="B709" s="37"/>
      <c r="C709" s="29"/>
      <c r="D709" s="29"/>
      <c r="E709" s="37"/>
      <c r="F709" s="37"/>
      <c r="G709" s="37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 ht="11.25" customHeight="1">
      <c r="A710" s="29"/>
      <c r="B710" s="37"/>
      <c r="C710" s="29"/>
      <c r="D710" s="29"/>
      <c r="E710" s="37"/>
      <c r="F710" s="37"/>
      <c r="G710" s="37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 ht="11.25" customHeight="1">
      <c r="A711" s="29"/>
      <c r="B711" s="37"/>
      <c r="C711" s="29"/>
      <c r="D711" s="29"/>
      <c r="E711" s="37"/>
      <c r="F711" s="37"/>
      <c r="G711" s="37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 ht="11.25" customHeight="1">
      <c r="A712" s="29"/>
      <c r="B712" s="37"/>
      <c r="C712" s="29"/>
      <c r="D712" s="29"/>
      <c r="E712" s="37"/>
      <c r="F712" s="37"/>
      <c r="G712" s="37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 ht="11.25" customHeight="1">
      <c r="A713" s="29"/>
      <c r="B713" s="37"/>
      <c r="C713" s="29"/>
      <c r="D713" s="29"/>
      <c r="E713" s="37"/>
      <c r="F713" s="37"/>
      <c r="G713" s="37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 ht="11.25" customHeight="1">
      <c r="A714" s="29"/>
      <c r="B714" s="37"/>
      <c r="C714" s="29"/>
      <c r="D714" s="29"/>
      <c r="E714" s="37"/>
      <c r="F714" s="37"/>
      <c r="G714" s="37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 ht="11.25" customHeight="1">
      <c r="A715" s="29"/>
      <c r="B715" s="37"/>
      <c r="C715" s="29"/>
      <c r="D715" s="29"/>
      <c r="E715" s="37"/>
      <c r="F715" s="37"/>
      <c r="G715" s="37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 ht="11.25" customHeight="1">
      <c r="A716" s="29"/>
      <c r="B716" s="37"/>
      <c r="C716" s="29"/>
      <c r="D716" s="29"/>
      <c r="E716" s="37"/>
      <c r="F716" s="37"/>
      <c r="G716" s="37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 ht="11.25" customHeight="1">
      <c r="A717" s="29"/>
      <c r="B717" s="37"/>
      <c r="C717" s="29"/>
      <c r="D717" s="29"/>
      <c r="E717" s="37"/>
      <c r="F717" s="37"/>
      <c r="G717" s="37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 ht="11.25" customHeight="1">
      <c r="A718" s="29"/>
      <c r="B718" s="37"/>
      <c r="C718" s="29"/>
      <c r="D718" s="29"/>
      <c r="E718" s="37"/>
      <c r="F718" s="37"/>
      <c r="G718" s="37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 ht="11.25" customHeight="1">
      <c r="A719" s="29"/>
      <c r="B719" s="37"/>
      <c r="C719" s="29"/>
      <c r="D719" s="29"/>
      <c r="E719" s="37"/>
      <c r="F719" s="37"/>
      <c r="G719" s="37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 ht="11.25" customHeight="1">
      <c r="A720" s="29"/>
      <c r="B720" s="37"/>
      <c r="C720" s="29"/>
      <c r="D720" s="29"/>
      <c r="E720" s="37"/>
      <c r="F720" s="37"/>
      <c r="G720" s="37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 ht="11.25" customHeight="1">
      <c r="A721" s="29"/>
      <c r="B721" s="37"/>
      <c r="C721" s="29"/>
      <c r="D721" s="29"/>
      <c r="E721" s="37"/>
      <c r="F721" s="37"/>
      <c r="G721" s="37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 ht="11.25" customHeight="1">
      <c r="A722" s="29"/>
      <c r="B722" s="37"/>
      <c r="C722" s="29"/>
      <c r="D722" s="29"/>
      <c r="E722" s="37"/>
      <c r="F722" s="37"/>
      <c r="G722" s="37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 ht="11.25" customHeight="1">
      <c r="A723" s="29"/>
      <c r="B723" s="37"/>
      <c r="C723" s="29"/>
      <c r="D723" s="29"/>
      <c r="E723" s="37"/>
      <c r="F723" s="37"/>
      <c r="G723" s="37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 ht="11.25" customHeight="1">
      <c r="A724" s="29"/>
      <c r="B724" s="37"/>
      <c r="C724" s="29"/>
      <c r="D724" s="29"/>
      <c r="E724" s="37"/>
      <c r="F724" s="37"/>
      <c r="G724" s="37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 ht="11.25" customHeight="1">
      <c r="A725" s="29"/>
      <c r="B725" s="37"/>
      <c r="C725" s="29"/>
      <c r="D725" s="29"/>
      <c r="E725" s="37"/>
      <c r="F725" s="37"/>
      <c r="G725" s="37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 ht="11.25" customHeight="1">
      <c r="A726" s="29"/>
      <c r="B726" s="37"/>
      <c r="C726" s="29"/>
      <c r="D726" s="29"/>
      <c r="E726" s="37"/>
      <c r="F726" s="37"/>
      <c r="G726" s="37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 ht="11.25" customHeight="1">
      <c r="A727" s="29"/>
      <c r="B727" s="37"/>
      <c r="C727" s="29"/>
      <c r="D727" s="29"/>
      <c r="E727" s="37"/>
      <c r="F727" s="37"/>
      <c r="G727" s="37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 ht="11.25" customHeight="1">
      <c r="A728" s="29"/>
      <c r="B728" s="37"/>
      <c r="C728" s="29"/>
      <c r="D728" s="29"/>
      <c r="E728" s="37"/>
      <c r="F728" s="37"/>
      <c r="G728" s="37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 ht="11.25" customHeight="1">
      <c r="A729" s="29"/>
      <c r="B729" s="37"/>
      <c r="C729" s="29"/>
      <c r="D729" s="29"/>
      <c r="E729" s="37"/>
      <c r="F729" s="37"/>
      <c r="G729" s="37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 ht="11.25" customHeight="1">
      <c r="A730" s="29"/>
      <c r="B730" s="37"/>
      <c r="C730" s="29"/>
      <c r="D730" s="29"/>
      <c r="E730" s="37"/>
      <c r="F730" s="37"/>
      <c r="G730" s="37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 ht="11.25" customHeight="1">
      <c r="A731" s="29"/>
      <c r="B731" s="37"/>
      <c r="C731" s="29"/>
      <c r="D731" s="29"/>
      <c r="E731" s="37"/>
      <c r="F731" s="37"/>
      <c r="G731" s="37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 ht="11.25" customHeight="1">
      <c r="A732" s="29"/>
      <c r="B732" s="37"/>
      <c r="C732" s="29"/>
      <c r="D732" s="29"/>
      <c r="E732" s="37"/>
      <c r="F732" s="37"/>
      <c r="G732" s="37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 ht="11.25" customHeight="1">
      <c r="A733" s="29"/>
      <c r="B733" s="37"/>
      <c r="C733" s="29"/>
      <c r="D733" s="29"/>
      <c r="E733" s="37"/>
      <c r="F733" s="37"/>
      <c r="G733" s="37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 ht="11.25" customHeight="1">
      <c r="A734" s="29"/>
      <c r="B734" s="37"/>
      <c r="C734" s="29"/>
      <c r="D734" s="29"/>
      <c r="E734" s="37"/>
      <c r="F734" s="37"/>
      <c r="G734" s="37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 ht="11.25" customHeight="1">
      <c r="A735" s="29"/>
      <c r="B735" s="37"/>
      <c r="C735" s="29"/>
      <c r="D735" s="29"/>
      <c r="E735" s="37"/>
      <c r="F735" s="37"/>
      <c r="G735" s="37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 ht="11.25" customHeight="1">
      <c r="A736" s="29"/>
      <c r="B736" s="37"/>
      <c r="C736" s="29"/>
      <c r="D736" s="29"/>
      <c r="E736" s="37"/>
      <c r="F736" s="37"/>
      <c r="G736" s="37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 ht="11.25" customHeight="1">
      <c r="A737" s="29"/>
      <c r="B737" s="37"/>
      <c r="C737" s="29"/>
      <c r="D737" s="29"/>
      <c r="E737" s="37"/>
      <c r="F737" s="37"/>
      <c r="G737" s="37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 ht="11.25" customHeight="1">
      <c r="A738" s="29"/>
      <c r="B738" s="37"/>
      <c r="C738" s="29"/>
      <c r="D738" s="29"/>
      <c r="E738" s="37"/>
      <c r="F738" s="37"/>
      <c r="G738" s="37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 ht="11.25" customHeight="1">
      <c r="A739" s="29"/>
      <c r="B739" s="37"/>
      <c r="C739" s="29"/>
      <c r="D739" s="29"/>
      <c r="E739" s="37"/>
      <c r="F739" s="37"/>
      <c r="G739" s="37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 ht="11.25" customHeight="1">
      <c r="A740" s="29"/>
      <c r="B740" s="37"/>
      <c r="C740" s="29"/>
      <c r="D740" s="29"/>
      <c r="E740" s="37"/>
      <c r="F740" s="37"/>
      <c r="G740" s="37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 ht="11.25" customHeight="1">
      <c r="A741" s="29"/>
      <c r="B741" s="37"/>
      <c r="C741" s="29"/>
      <c r="D741" s="29"/>
      <c r="E741" s="37"/>
      <c r="F741" s="37"/>
      <c r="G741" s="37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 ht="11.25" customHeight="1">
      <c r="A742" s="29"/>
      <c r="B742" s="37"/>
      <c r="C742" s="29"/>
      <c r="D742" s="29"/>
      <c r="E742" s="37"/>
      <c r="F742" s="37"/>
      <c r="G742" s="37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 ht="11.25" customHeight="1">
      <c r="A743" s="29"/>
      <c r="B743" s="37"/>
      <c r="C743" s="29"/>
      <c r="D743" s="29"/>
      <c r="E743" s="37"/>
      <c r="F743" s="37"/>
      <c r="G743" s="37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 ht="11.25" customHeight="1">
      <c r="A744" s="29"/>
      <c r="B744" s="37"/>
      <c r="C744" s="29"/>
      <c r="D744" s="29"/>
      <c r="E744" s="37"/>
      <c r="F744" s="37"/>
      <c r="G744" s="37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 ht="11.25" customHeight="1">
      <c r="A745" s="29"/>
      <c r="B745" s="37"/>
      <c r="C745" s="29"/>
      <c r="D745" s="29"/>
      <c r="E745" s="37"/>
      <c r="F745" s="37"/>
      <c r="G745" s="37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 ht="11.25" customHeight="1">
      <c r="A746" s="29"/>
      <c r="B746" s="37"/>
      <c r="C746" s="29"/>
      <c r="D746" s="29"/>
      <c r="E746" s="37"/>
      <c r="F746" s="37"/>
      <c r="G746" s="37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 ht="11.25" customHeight="1">
      <c r="A747" s="29"/>
      <c r="B747" s="37"/>
      <c r="C747" s="29"/>
      <c r="D747" s="29"/>
      <c r="E747" s="37"/>
      <c r="F747" s="37"/>
      <c r="G747" s="37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 ht="11.25" customHeight="1">
      <c r="A748" s="29"/>
      <c r="B748" s="37"/>
      <c r="C748" s="29"/>
      <c r="D748" s="29"/>
      <c r="E748" s="37"/>
      <c r="F748" s="37"/>
      <c r="G748" s="37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 ht="11.25" customHeight="1">
      <c r="A749" s="29"/>
      <c r="B749" s="37"/>
      <c r="C749" s="29"/>
      <c r="D749" s="29"/>
      <c r="E749" s="37"/>
      <c r="F749" s="37"/>
      <c r="G749" s="37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 ht="11.25" customHeight="1">
      <c r="A750" s="29"/>
      <c r="B750" s="37"/>
      <c r="C750" s="29"/>
      <c r="D750" s="29"/>
      <c r="E750" s="37"/>
      <c r="F750" s="37"/>
      <c r="G750" s="37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 ht="11.25" customHeight="1">
      <c r="A751" s="29"/>
      <c r="B751" s="37"/>
      <c r="C751" s="29"/>
      <c r="D751" s="29"/>
      <c r="E751" s="37"/>
      <c r="F751" s="37"/>
      <c r="G751" s="37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 ht="11.25" customHeight="1">
      <c r="A752" s="29"/>
      <c r="B752" s="37"/>
      <c r="C752" s="29"/>
      <c r="D752" s="29"/>
      <c r="E752" s="37"/>
      <c r="F752" s="37"/>
      <c r="G752" s="37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 ht="11.25" customHeight="1">
      <c r="A753" s="29"/>
      <c r="B753" s="37"/>
      <c r="C753" s="29"/>
      <c r="D753" s="29"/>
      <c r="E753" s="37"/>
      <c r="F753" s="37"/>
      <c r="G753" s="37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 ht="11.25" customHeight="1">
      <c r="A754" s="29"/>
      <c r="B754" s="37"/>
      <c r="C754" s="29"/>
      <c r="D754" s="29"/>
      <c r="E754" s="37"/>
      <c r="F754" s="37"/>
      <c r="G754" s="37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 ht="11.25" customHeight="1">
      <c r="A755" s="29"/>
      <c r="B755" s="37"/>
      <c r="C755" s="29"/>
      <c r="D755" s="29"/>
      <c r="E755" s="37"/>
      <c r="F755" s="37"/>
      <c r="G755" s="37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 ht="11.25" customHeight="1">
      <c r="A756" s="29"/>
      <c r="B756" s="37"/>
      <c r="C756" s="29"/>
      <c r="D756" s="29"/>
      <c r="E756" s="37"/>
      <c r="F756" s="37"/>
      <c r="G756" s="37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 ht="11.25" customHeight="1">
      <c r="A757" s="29"/>
      <c r="B757" s="37"/>
      <c r="C757" s="29"/>
      <c r="D757" s="29"/>
      <c r="E757" s="37"/>
      <c r="F757" s="37"/>
      <c r="G757" s="37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 ht="11.25" customHeight="1">
      <c r="A758" s="29"/>
      <c r="B758" s="37"/>
      <c r="C758" s="29"/>
      <c r="D758" s="29"/>
      <c r="E758" s="37"/>
      <c r="F758" s="37"/>
      <c r="G758" s="37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 ht="11.25" customHeight="1">
      <c r="A759" s="29"/>
      <c r="B759" s="37"/>
      <c r="C759" s="29"/>
      <c r="D759" s="29"/>
      <c r="E759" s="37"/>
      <c r="F759" s="37"/>
      <c r="G759" s="37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 ht="11.25" customHeight="1">
      <c r="A760" s="29"/>
      <c r="B760" s="37"/>
      <c r="C760" s="29"/>
      <c r="D760" s="29"/>
      <c r="E760" s="37"/>
      <c r="F760" s="37"/>
      <c r="G760" s="37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 ht="11.25" customHeight="1">
      <c r="A761" s="29"/>
      <c r="B761" s="37"/>
      <c r="C761" s="29"/>
      <c r="D761" s="29"/>
      <c r="E761" s="37"/>
      <c r="F761" s="37"/>
      <c r="G761" s="37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 ht="11.25" customHeight="1">
      <c r="A762" s="29"/>
      <c r="B762" s="37"/>
      <c r="C762" s="29"/>
      <c r="D762" s="29"/>
      <c r="E762" s="37"/>
      <c r="F762" s="37"/>
      <c r="G762" s="37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 ht="11.25" customHeight="1">
      <c r="A763" s="29"/>
      <c r="B763" s="37"/>
      <c r="C763" s="29"/>
      <c r="D763" s="29"/>
      <c r="E763" s="37"/>
      <c r="F763" s="37"/>
      <c r="G763" s="37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 ht="11.25" customHeight="1">
      <c r="A764" s="29"/>
      <c r="B764" s="37"/>
      <c r="C764" s="29"/>
      <c r="D764" s="29"/>
      <c r="E764" s="37"/>
      <c r="F764" s="37"/>
      <c r="G764" s="37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 ht="11.25" customHeight="1">
      <c r="A765" s="29"/>
      <c r="B765" s="37"/>
      <c r="C765" s="29"/>
      <c r="D765" s="29"/>
      <c r="E765" s="37"/>
      <c r="F765" s="37"/>
      <c r="G765" s="37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 ht="11.25" customHeight="1">
      <c r="A766" s="29"/>
      <c r="B766" s="37"/>
      <c r="C766" s="29"/>
      <c r="D766" s="29"/>
      <c r="E766" s="37"/>
      <c r="F766" s="37"/>
      <c r="G766" s="37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 ht="11.25" customHeight="1">
      <c r="A767" s="29"/>
      <c r="B767" s="37"/>
      <c r="C767" s="29"/>
      <c r="D767" s="29"/>
      <c r="E767" s="37"/>
      <c r="F767" s="37"/>
      <c r="G767" s="37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 ht="11.25" customHeight="1">
      <c r="A768" s="29"/>
      <c r="B768" s="37"/>
      <c r="C768" s="29"/>
      <c r="D768" s="29"/>
      <c r="E768" s="37"/>
      <c r="F768" s="37"/>
      <c r="G768" s="37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 ht="11.25" customHeight="1">
      <c r="A769" s="29"/>
      <c r="B769" s="37"/>
      <c r="C769" s="29"/>
      <c r="D769" s="29"/>
      <c r="E769" s="37"/>
      <c r="F769" s="37"/>
      <c r="G769" s="37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 ht="11.25" customHeight="1">
      <c r="A770" s="29"/>
      <c r="B770" s="37"/>
      <c r="C770" s="29"/>
      <c r="D770" s="29"/>
      <c r="E770" s="37"/>
      <c r="F770" s="37"/>
      <c r="G770" s="37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 ht="11.25" customHeight="1">
      <c r="A771" s="29"/>
      <c r="B771" s="37"/>
      <c r="C771" s="29"/>
      <c r="D771" s="29"/>
      <c r="E771" s="37"/>
      <c r="F771" s="37"/>
      <c r="G771" s="37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 ht="11.25" customHeight="1">
      <c r="A772" s="29"/>
      <c r="B772" s="37"/>
      <c r="C772" s="29"/>
      <c r="D772" s="29"/>
      <c r="E772" s="37"/>
      <c r="F772" s="37"/>
      <c r="G772" s="37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 ht="11.25" customHeight="1">
      <c r="A773" s="29"/>
      <c r="B773" s="37"/>
      <c r="C773" s="29"/>
      <c r="D773" s="29"/>
      <c r="E773" s="37"/>
      <c r="F773" s="37"/>
      <c r="G773" s="37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 ht="11.25" customHeight="1">
      <c r="A774" s="29"/>
      <c r="B774" s="37"/>
      <c r="C774" s="29"/>
      <c r="D774" s="29"/>
      <c r="E774" s="37"/>
      <c r="F774" s="37"/>
      <c r="G774" s="37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 ht="11.25" customHeight="1">
      <c r="A775" s="29"/>
      <c r="B775" s="37"/>
      <c r="C775" s="29"/>
      <c r="D775" s="29"/>
      <c r="E775" s="37"/>
      <c r="F775" s="37"/>
      <c r="G775" s="37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 ht="11.25" customHeight="1">
      <c r="A776" s="29"/>
      <c r="B776" s="37"/>
      <c r="C776" s="29"/>
      <c r="D776" s="29"/>
      <c r="E776" s="37"/>
      <c r="F776" s="37"/>
      <c r="G776" s="37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 ht="11.25" customHeight="1">
      <c r="A777" s="29"/>
      <c r="B777" s="37"/>
      <c r="C777" s="29"/>
      <c r="D777" s="29"/>
      <c r="E777" s="37"/>
      <c r="F777" s="37"/>
      <c r="G777" s="37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 ht="11.25" customHeight="1">
      <c r="A778" s="29"/>
      <c r="B778" s="37"/>
      <c r="C778" s="29"/>
      <c r="D778" s="29"/>
      <c r="E778" s="37"/>
      <c r="F778" s="37"/>
      <c r="G778" s="37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 ht="11.25" customHeight="1">
      <c r="A779" s="29"/>
      <c r="B779" s="37"/>
      <c r="C779" s="29"/>
      <c r="D779" s="29"/>
      <c r="E779" s="37"/>
      <c r="F779" s="37"/>
      <c r="G779" s="37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 ht="11.25" customHeight="1">
      <c r="A780" s="29"/>
      <c r="B780" s="37"/>
      <c r="C780" s="29"/>
      <c r="D780" s="29"/>
      <c r="E780" s="37"/>
      <c r="F780" s="37"/>
      <c r="G780" s="37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 ht="11.25" customHeight="1">
      <c r="A781" s="29"/>
      <c r="B781" s="37"/>
      <c r="C781" s="29"/>
      <c r="D781" s="29"/>
      <c r="E781" s="37"/>
      <c r="F781" s="37"/>
      <c r="G781" s="37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 ht="11.25" customHeight="1">
      <c r="A782" s="29"/>
      <c r="B782" s="37"/>
      <c r="C782" s="29"/>
      <c r="D782" s="29"/>
      <c r="E782" s="37"/>
      <c r="F782" s="37"/>
      <c r="G782" s="37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 ht="11.25" customHeight="1">
      <c r="A783" s="29"/>
      <c r="B783" s="37"/>
      <c r="C783" s="29"/>
      <c r="D783" s="29"/>
      <c r="E783" s="37"/>
      <c r="F783" s="37"/>
      <c r="G783" s="37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 ht="11.25" customHeight="1">
      <c r="A784" s="29"/>
      <c r="B784" s="37"/>
      <c r="C784" s="29"/>
      <c r="D784" s="29"/>
      <c r="E784" s="37"/>
      <c r="F784" s="37"/>
      <c r="G784" s="37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 ht="11.25" customHeight="1">
      <c r="A785" s="29"/>
      <c r="B785" s="37"/>
      <c r="C785" s="29"/>
      <c r="D785" s="29"/>
      <c r="E785" s="37"/>
      <c r="F785" s="37"/>
      <c r="G785" s="37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 ht="11.25" customHeight="1">
      <c r="A786" s="29"/>
      <c r="B786" s="37"/>
      <c r="C786" s="29"/>
      <c r="D786" s="29"/>
      <c r="E786" s="37"/>
      <c r="F786" s="37"/>
      <c r="G786" s="37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 ht="11.25" customHeight="1">
      <c r="A787" s="29"/>
      <c r="B787" s="37"/>
      <c r="C787" s="29"/>
      <c r="D787" s="29"/>
      <c r="E787" s="37"/>
      <c r="F787" s="37"/>
      <c r="G787" s="37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 ht="11.25" customHeight="1">
      <c r="A788" s="29"/>
      <c r="B788" s="37"/>
      <c r="C788" s="29"/>
      <c r="D788" s="29"/>
      <c r="E788" s="37"/>
      <c r="F788" s="37"/>
      <c r="G788" s="37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 ht="11.25" customHeight="1">
      <c r="A789" s="29"/>
      <c r="B789" s="37"/>
      <c r="C789" s="29"/>
      <c r="D789" s="29"/>
      <c r="E789" s="37"/>
      <c r="F789" s="37"/>
      <c r="G789" s="37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 ht="11.25" customHeight="1">
      <c r="A790" s="29"/>
      <c r="B790" s="37"/>
      <c r="C790" s="29"/>
      <c r="D790" s="29"/>
      <c r="E790" s="37"/>
      <c r="F790" s="37"/>
      <c r="G790" s="37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 ht="11.25" customHeight="1">
      <c r="A791" s="29"/>
      <c r="B791" s="37"/>
      <c r="C791" s="29"/>
      <c r="D791" s="29"/>
      <c r="E791" s="37"/>
      <c r="F791" s="37"/>
      <c r="G791" s="37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 ht="11.25" customHeight="1">
      <c r="A792" s="29"/>
      <c r="B792" s="37"/>
      <c r="C792" s="29"/>
      <c r="D792" s="29"/>
      <c r="E792" s="37"/>
      <c r="F792" s="37"/>
      <c r="G792" s="37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 ht="11.25" customHeight="1">
      <c r="A793" s="29"/>
      <c r="B793" s="37"/>
      <c r="C793" s="29"/>
      <c r="D793" s="29"/>
      <c r="E793" s="37"/>
      <c r="F793" s="37"/>
      <c r="G793" s="37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 ht="11.25" customHeight="1">
      <c r="A794" s="29"/>
      <c r="B794" s="37"/>
      <c r="C794" s="29"/>
      <c r="D794" s="29"/>
      <c r="E794" s="37"/>
      <c r="F794" s="37"/>
      <c r="G794" s="37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 ht="11.25" customHeight="1">
      <c r="A795" s="29"/>
      <c r="B795" s="37"/>
      <c r="C795" s="29"/>
      <c r="D795" s="29"/>
      <c r="E795" s="37"/>
      <c r="F795" s="37"/>
      <c r="G795" s="37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 ht="11.25" customHeight="1">
      <c r="A796" s="29"/>
      <c r="B796" s="37"/>
      <c r="C796" s="29"/>
      <c r="D796" s="29"/>
      <c r="E796" s="37"/>
      <c r="F796" s="37"/>
      <c r="G796" s="37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 ht="11.25" customHeight="1">
      <c r="A797" s="29"/>
      <c r="B797" s="37"/>
      <c r="C797" s="29"/>
      <c r="D797" s="29"/>
      <c r="E797" s="37"/>
      <c r="F797" s="37"/>
      <c r="G797" s="37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 ht="11.25" customHeight="1">
      <c r="A798" s="29"/>
      <c r="B798" s="37"/>
      <c r="C798" s="29"/>
      <c r="D798" s="29"/>
      <c r="E798" s="37"/>
      <c r="F798" s="37"/>
      <c r="G798" s="37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 ht="11.25" customHeight="1">
      <c r="A799" s="29"/>
      <c r="B799" s="37"/>
      <c r="C799" s="29"/>
      <c r="D799" s="29"/>
      <c r="E799" s="37"/>
      <c r="F799" s="37"/>
      <c r="G799" s="37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 ht="11.25" customHeight="1">
      <c r="A800" s="29"/>
      <c r="B800" s="37"/>
      <c r="C800" s="29"/>
      <c r="D800" s="29"/>
      <c r="E800" s="37"/>
      <c r="F800" s="37"/>
      <c r="G800" s="37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 ht="11.25" customHeight="1">
      <c r="A801" s="29"/>
      <c r="B801" s="37"/>
      <c r="C801" s="29"/>
      <c r="D801" s="29"/>
      <c r="E801" s="37"/>
      <c r="F801" s="37"/>
      <c r="G801" s="37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 ht="11.25" customHeight="1">
      <c r="A802" s="29"/>
      <c r="B802" s="37"/>
      <c r="C802" s="29"/>
      <c r="D802" s="29"/>
      <c r="E802" s="37"/>
      <c r="F802" s="37"/>
      <c r="G802" s="37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 ht="11.25" customHeight="1">
      <c r="A803" s="29"/>
      <c r="B803" s="37"/>
      <c r="C803" s="29"/>
      <c r="D803" s="29"/>
      <c r="E803" s="37"/>
      <c r="F803" s="37"/>
      <c r="G803" s="37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 ht="11.25" customHeight="1">
      <c r="A804" s="29"/>
      <c r="B804" s="37"/>
      <c r="C804" s="29"/>
      <c r="D804" s="29"/>
      <c r="E804" s="37"/>
      <c r="F804" s="37"/>
      <c r="G804" s="37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 ht="11.25" customHeight="1">
      <c r="A805" s="29"/>
      <c r="B805" s="37"/>
      <c r="C805" s="29"/>
      <c r="D805" s="29"/>
      <c r="E805" s="37"/>
      <c r="F805" s="37"/>
      <c r="G805" s="37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 ht="11.25" customHeight="1">
      <c r="A806" s="29"/>
      <c r="B806" s="37"/>
      <c r="C806" s="29"/>
      <c r="D806" s="29"/>
      <c r="E806" s="37"/>
      <c r="F806" s="37"/>
      <c r="G806" s="37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 ht="11.25" customHeight="1">
      <c r="A807" s="29"/>
      <c r="B807" s="37"/>
      <c r="C807" s="29"/>
      <c r="D807" s="29"/>
      <c r="E807" s="37"/>
      <c r="F807" s="37"/>
      <c r="G807" s="37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 ht="11.25" customHeight="1">
      <c r="A808" s="29"/>
      <c r="B808" s="37"/>
      <c r="C808" s="29"/>
      <c r="D808" s="29"/>
      <c r="E808" s="37"/>
      <c r="F808" s="37"/>
      <c r="G808" s="37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 ht="11.25" customHeight="1">
      <c r="A809" s="29"/>
      <c r="B809" s="37"/>
      <c r="C809" s="29"/>
      <c r="D809" s="29"/>
      <c r="E809" s="37"/>
      <c r="F809" s="37"/>
      <c r="G809" s="37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 ht="11.25" customHeight="1">
      <c r="A810" s="29"/>
      <c r="B810" s="37"/>
      <c r="C810" s="29"/>
      <c r="D810" s="29"/>
      <c r="E810" s="37"/>
      <c r="F810" s="37"/>
      <c r="G810" s="37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 ht="11.25" customHeight="1">
      <c r="A811" s="29"/>
      <c r="B811" s="37"/>
      <c r="C811" s="29"/>
      <c r="D811" s="29"/>
      <c r="E811" s="37"/>
      <c r="F811" s="37"/>
      <c r="G811" s="37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 ht="11.25" customHeight="1">
      <c r="A812" s="29"/>
      <c r="B812" s="37"/>
      <c r="C812" s="29"/>
      <c r="D812" s="29"/>
      <c r="E812" s="37"/>
      <c r="F812" s="37"/>
      <c r="G812" s="37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 ht="11.25" customHeight="1">
      <c r="A813" s="29"/>
      <c r="B813" s="37"/>
      <c r="C813" s="29"/>
      <c r="D813" s="29"/>
      <c r="E813" s="37"/>
      <c r="F813" s="37"/>
      <c r="G813" s="37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 ht="11.25" customHeight="1">
      <c r="A814" s="29"/>
      <c r="B814" s="37"/>
      <c r="C814" s="29"/>
      <c r="D814" s="29"/>
      <c r="E814" s="37"/>
      <c r="F814" s="37"/>
      <c r="G814" s="37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 ht="11.25" customHeight="1">
      <c r="A815" s="29"/>
      <c r="B815" s="37"/>
      <c r="C815" s="29"/>
      <c r="D815" s="29"/>
      <c r="E815" s="37"/>
      <c r="F815" s="37"/>
      <c r="G815" s="37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 ht="11.25" customHeight="1">
      <c r="A816" s="29"/>
      <c r="B816" s="37"/>
      <c r="C816" s="29"/>
      <c r="D816" s="29"/>
      <c r="E816" s="37"/>
      <c r="F816" s="37"/>
      <c r="G816" s="37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 ht="11.25" customHeight="1">
      <c r="A817" s="29"/>
      <c r="B817" s="37"/>
      <c r="C817" s="29"/>
      <c r="D817" s="29"/>
      <c r="E817" s="37"/>
      <c r="F817" s="37"/>
      <c r="G817" s="37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 ht="11.25" customHeight="1">
      <c r="A818" s="29"/>
      <c r="B818" s="37"/>
      <c r="C818" s="29"/>
      <c r="D818" s="29"/>
      <c r="E818" s="37"/>
      <c r="F818" s="37"/>
      <c r="G818" s="37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 ht="11.25" customHeight="1">
      <c r="A819" s="29"/>
      <c r="B819" s="37"/>
      <c r="C819" s="29"/>
      <c r="D819" s="29"/>
      <c r="E819" s="37"/>
      <c r="F819" s="37"/>
      <c r="G819" s="37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 ht="11.25" customHeight="1">
      <c r="A820" s="29"/>
      <c r="B820" s="37"/>
      <c r="C820" s="29"/>
      <c r="D820" s="29"/>
      <c r="E820" s="37"/>
      <c r="F820" s="37"/>
      <c r="G820" s="37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 ht="11.25" customHeight="1">
      <c r="A821" s="29"/>
      <c r="B821" s="37"/>
      <c r="C821" s="29"/>
      <c r="D821" s="29"/>
      <c r="E821" s="37"/>
      <c r="F821" s="37"/>
      <c r="G821" s="37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 ht="11.25" customHeight="1">
      <c r="A822" s="29"/>
      <c r="B822" s="37"/>
      <c r="C822" s="29"/>
      <c r="D822" s="29"/>
      <c r="E822" s="37"/>
      <c r="F822" s="37"/>
      <c r="G822" s="37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 ht="11.25" customHeight="1">
      <c r="A823" s="29"/>
      <c r="B823" s="37"/>
      <c r="C823" s="29"/>
      <c r="D823" s="29"/>
      <c r="E823" s="37"/>
      <c r="F823" s="37"/>
      <c r="G823" s="37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 ht="11.25" customHeight="1">
      <c r="A824" s="29"/>
      <c r="B824" s="37"/>
      <c r="C824" s="29"/>
      <c r="D824" s="29"/>
      <c r="E824" s="37"/>
      <c r="F824" s="37"/>
      <c r="G824" s="37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 ht="11.25" customHeight="1">
      <c r="A825" s="29"/>
      <c r="B825" s="37"/>
      <c r="C825" s="29"/>
      <c r="D825" s="29"/>
      <c r="E825" s="37"/>
      <c r="F825" s="37"/>
      <c r="G825" s="37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 ht="11.25" customHeight="1">
      <c r="A826" s="29"/>
      <c r="B826" s="37"/>
      <c r="C826" s="29"/>
      <c r="D826" s="29"/>
      <c r="E826" s="37"/>
      <c r="F826" s="37"/>
      <c r="G826" s="37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 ht="11.25" customHeight="1">
      <c r="A827" s="29"/>
      <c r="B827" s="37"/>
      <c r="C827" s="29"/>
      <c r="D827" s="29"/>
      <c r="E827" s="37"/>
      <c r="F827" s="37"/>
      <c r="G827" s="37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 ht="11.25" customHeight="1">
      <c r="A828" s="29"/>
      <c r="B828" s="37"/>
      <c r="C828" s="29"/>
      <c r="D828" s="29"/>
      <c r="E828" s="37"/>
      <c r="F828" s="37"/>
      <c r="G828" s="37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 ht="11.25" customHeight="1">
      <c r="A829" s="29"/>
      <c r="B829" s="37"/>
      <c r="C829" s="29"/>
      <c r="D829" s="29"/>
      <c r="E829" s="37"/>
      <c r="F829" s="37"/>
      <c r="G829" s="37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 ht="11.25" customHeight="1">
      <c r="A830" s="29"/>
      <c r="B830" s="37"/>
      <c r="C830" s="29"/>
      <c r="D830" s="29"/>
      <c r="E830" s="37"/>
      <c r="F830" s="37"/>
      <c r="G830" s="37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 ht="11.25" customHeight="1">
      <c r="A831" s="29"/>
      <c r="B831" s="37"/>
      <c r="C831" s="29"/>
      <c r="D831" s="29"/>
      <c r="E831" s="37"/>
      <c r="F831" s="37"/>
      <c r="G831" s="37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 ht="11.25" customHeight="1">
      <c r="A832" s="29"/>
      <c r="B832" s="37"/>
      <c r="C832" s="29"/>
      <c r="D832" s="29"/>
      <c r="E832" s="37"/>
      <c r="F832" s="37"/>
      <c r="G832" s="37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 ht="11.25" customHeight="1">
      <c r="A833" s="29"/>
      <c r="B833" s="37"/>
      <c r="C833" s="29"/>
      <c r="D833" s="29"/>
      <c r="E833" s="37"/>
      <c r="F833" s="37"/>
      <c r="G833" s="37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 ht="11.25" customHeight="1">
      <c r="A834" s="29"/>
      <c r="B834" s="37"/>
      <c r="C834" s="29"/>
      <c r="D834" s="29"/>
      <c r="E834" s="37"/>
      <c r="F834" s="37"/>
      <c r="G834" s="37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</row>
    <row r="835" ht="11.25" customHeight="1">
      <c r="A835" s="29"/>
      <c r="B835" s="37"/>
      <c r="C835" s="29"/>
      <c r="D835" s="29"/>
      <c r="E835" s="37"/>
      <c r="F835" s="37"/>
      <c r="G835" s="37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 ht="11.25" customHeight="1">
      <c r="A836" s="29"/>
      <c r="B836" s="37"/>
      <c r="C836" s="29"/>
      <c r="D836" s="29"/>
      <c r="E836" s="37"/>
      <c r="F836" s="37"/>
      <c r="G836" s="37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</row>
    <row r="837" ht="11.25" customHeight="1">
      <c r="A837" s="29"/>
      <c r="B837" s="37"/>
      <c r="C837" s="29"/>
      <c r="D837" s="29"/>
      <c r="E837" s="37"/>
      <c r="F837" s="37"/>
      <c r="G837" s="37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</row>
    <row r="838" ht="11.25" customHeight="1">
      <c r="A838" s="29"/>
      <c r="B838" s="37"/>
      <c r="C838" s="29"/>
      <c r="D838" s="29"/>
      <c r="E838" s="37"/>
      <c r="F838" s="37"/>
      <c r="G838" s="37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 ht="11.25" customHeight="1">
      <c r="A839" s="29"/>
      <c r="B839" s="37"/>
      <c r="C839" s="29"/>
      <c r="D839" s="29"/>
      <c r="E839" s="37"/>
      <c r="F839" s="37"/>
      <c r="G839" s="37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  <row r="840" ht="11.25" customHeight="1">
      <c r="A840" s="29"/>
      <c r="B840" s="37"/>
      <c r="C840" s="29"/>
      <c r="D840" s="29"/>
      <c r="E840" s="37"/>
      <c r="F840" s="37"/>
      <c r="G840" s="37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</row>
    <row r="841" ht="11.25" customHeight="1">
      <c r="A841" s="29"/>
      <c r="B841" s="37"/>
      <c r="C841" s="29"/>
      <c r="D841" s="29"/>
      <c r="E841" s="37"/>
      <c r="F841" s="37"/>
      <c r="G841" s="37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</row>
    <row r="842" ht="11.25" customHeight="1">
      <c r="A842" s="29"/>
      <c r="B842" s="37"/>
      <c r="C842" s="29"/>
      <c r="D842" s="29"/>
      <c r="E842" s="37"/>
      <c r="F842" s="37"/>
      <c r="G842" s="37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 ht="11.25" customHeight="1">
      <c r="A843" s="29"/>
      <c r="B843" s="37"/>
      <c r="C843" s="29"/>
      <c r="D843" s="29"/>
      <c r="E843" s="37"/>
      <c r="F843" s="37"/>
      <c r="G843" s="37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</row>
    <row r="844" ht="11.25" customHeight="1">
      <c r="A844" s="29"/>
      <c r="B844" s="37"/>
      <c r="C844" s="29"/>
      <c r="D844" s="29"/>
      <c r="E844" s="37"/>
      <c r="F844" s="37"/>
      <c r="G844" s="37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</row>
    <row r="845" ht="11.25" customHeight="1">
      <c r="A845" s="29"/>
      <c r="B845" s="37"/>
      <c r="C845" s="29"/>
      <c r="D845" s="29"/>
      <c r="E845" s="37"/>
      <c r="F845" s="37"/>
      <c r="G845" s="37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</row>
    <row r="846" ht="11.25" customHeight="1">
      <c r="A846" s="29"/>
      <c r="B846" s="37"/>
      <c r="C846" s="29"/>
      <c r="D846" s="29"/>
      <c r="E846" s="37"/>
      <c r="F846" s="37"/>
      <c r="G846" s="37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</row>
    <row r="847" ht="11.25" customHeight="1">
      <c r="A847" s="29"/>
      <c r="B847" s="37"/>
      <c r="C847" s="29"/>
      <c r="D847" s="29"/>
      <c r="E847" s="37"/>
      <c r="F847" s="37"/>
      <c r="G847" s="37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</row>
    <row r="848" ht="11.25" customHeight="1">
      <c r="A848" s="29"/>
      <c r="B848" s="37"/>
      <c r="C848" s="29"/>
      <c r="D848" s="29"/>
      <c r="E848" s="37"/>
      <c r="F848" s="37"/>
      <c r="G848" s="37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</row>
    <row r="849" ht="11.25" customHeight="1">
      <c r="A849" s="29"/>
      <c r="B849" s="37"/>
      <c r="C849" s="29"/>
      <c r="D849" s="29"/>
      <c r="E849" s="37"/>
      <c r="F849" s="37"/>
      <c r="G849" s="37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</row>
    <row r="850" ht="11.25" customHeight="1">
      <c r="A850" s="29"/>
      <c r="B850" s="37"/>
      <c r="C850" s="29"/>
      <c r="D850" s="29"/>
      <c r="E850" s="37"/>
      <c r="F850" s="37"/>
      <c r="G850" s="37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</row>
    <row r="851" ht="11.25" customHeight="1">
      <c r="A851" s="29"/>
      <c r="B851" s="37"/>
      <c r="C851" s="29"/>
      <c r="D851" s="29"/>
      <c r="E851" s="37"/>
      <c r="F851" s="37"/>
      <c r="G851" s="37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 ht="11.25" customHeight="1">
      <c r="A852" s="29"/>
      <c r="B852" s="37"/>
      <c r="C852" s="29"/>
      <c r="D852" s="29"/>
      <c r="E852" s="37"/>
      <c r="F852" s="37"/>
      <c r="G852" s="37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 ht="11.25" customHeight="1">
      <c r="A853" s="29"/>
      <c r="B853" s="37"/>
      <c r="C853" s="29"/>
      <c r="D853" s="29"/>
      <c r="E853" s="37"/>
      <c r="F853" s="37"/>
      <c r="G853" s="37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</row>
    <row r="854" ht="11.25" customHeight="1">
      <c r="A854" s="29"/>
      <c r="B854" s="37"/>
      <c r="C854" s="29"/>
      <c r="D854" s="29"/>
      <c r="E854" s="37"/>
      <c r="F854" s="37"/>
      <c r="G854" s="37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 ht="11.25" customHeight="1">
      <c r="A855" s="29"/>
      <c r="B855" s="37"/>
      <c r="C855" s="29"/>
      <c r="D855" s="29"/>
      <c r="E855" s="37"/>
      <c r="F855" s="37"/>
      <c r="G855" s="37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 ht="11.25" customHeight="1">
      <c r="A856" s="29"/>
      <c r="B856" s="37"/>
      <c r="C856" s="29"/>
      <c r="D856" s="29"/>
      <c r="E856" s="37"/>
      <c r="F856" s="37"/>
      <c r="G856" s="37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 ht="11.25" customHeight="1">
      <c r="A857" s="29"/>
      <c r="B857" s="37"/>
      <c r="C857" s="29"/>
      <c r="D857" s="29"/>
      <c r="E857" s="37"/>
      <c r="F857" s="37"/>
      <c r="G857" s="37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</row>
    <row r="858" ht="11.25" customHeight="1">
      <c r="A858" s="29"/>
      <c r="B858" s="37"/>
      <c r="C858" s="29"/>
      <c r="D858" s="29"/>
      <c r="E858" s="37"/>
      <c r="F858" s="37"/>
      <c r="G858" s="37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 ht="11.25" customHeight="1">
      <c r="A859" s="29"/>
      <c r="B859" s="37"/>
      <c r="C859" s="29"/>
      <c r="D859" s="29"/>
      <c r="E859" s="37"/>
      <c r="F859" s="37"/>
      <c r="G859" s="37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 ht="11.25" customHeight="1">
      <c r="A860" s="29"/>
      <c r="B860" s="37"/>
      <c r="C860" s="29"/>
      <c r="D860" s="29"/>
      <c r="E860" s="37"/>
      <c r="F860" s="37"/>
      <c r="G860" s="37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 ht="11.25" customHeight="1">
      <c r="A861" s="29"/>
      <c r="B861" s="37"/>
      <c r="C861" s="29"/>
      <c r="D861" s="29"/>
      <c r="E861" s="37"/>
      <c r="F861" s="37"/>
      <c r="G861" s="37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 ht="11.25" customHeight="1">
      <c r="A862" s="29"/>
      <c r="B862" s="37"/>
      <c r="C862" s="29"/>
      <c r="D862" s="29"/>
      <c r="E862" s="37"/>
      <c r="F862" s="37"/>
      <c r="G862" s="37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 ht="11.25" customHeight="1">
      <c r="A863" s="29"/>
      <c r="B863" s="37"/>
      <c r="C863" s="29"/>
      <c r="D863" s="29"/>
      <c r="E863" s="37"/>
      <c r="F863" s="37"/>
      <c r="G863" s="37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 ht="11.25" customHeight="1">
      <c r="A864" s="29"/>
      <c r="B864" s="37"/>
      <c r="C864" s="29"/>
      <c r="D864" s="29"/>
      <c r="E864" s="37"/>
      <c r="F864" s="37"/>
      <c r="G864" s="37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 ht="11.25" customHeight="1">
      <c r="A865" s="29"/>
      <c r="B865" s="37"/>
      <c r="C865" s="29"/>
      <c r="D865" s="29"/>
      <c r="E865" s="37"/>
      <c r="F865" s="37"/>
      <c r="G865" s="37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 ht="11.25" customHeight="1">
      <c r="A866" s="29"/>
      <c r="B866" s="37"/>
      <c r="C866" s="29"/>
      <c r="D866" s="29"/>
      <c r="E866" s="37"/>
      <c r="F866" s="37"/>
      <c r="G866" s="37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 ht="11.25" customHeight="1">
      <c r="A867" s="29"/>
      <c r="B867" s="37"/>
      <c r="C867" s="29"/>
      <c r="D867" s="29"/>
      <c r="E867" s="37"/>
      <c r="F867" s="37"/>
      <c r="G867" s="37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 ht="11.25" customHeight="1">
      <c r="A868" s="29"/>
      <c r="B868" s="37"/>
      <c r="C868" s="29"/>
      <c r="D868" s="29"/>
      <c r="E868" s="37"/>
      <c r="F868" s="37"/>
      <c r="G868" s="37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 ht="11.25" customHeight="1">
      <c r="A869" s="29"/>
      <c r="B869" s="37"/>
      <c r="C869" s="29"/>
      <c r="D869" s="29"/>
      <c r="E869" s="37"/>
      <c r="F869" s="37"/>
      <c r="G869" s="37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 ht="11.25" customHeight="1">
      <c r="A870" s="29"/>
      <c r="B870" s="37"/>
      <c r="C870" s="29"/>
      <c r="D870" s="29"/>
      <c r="E870" s="37"/>
      <c r="F870" s="37"/>
      <c r="G870" s="37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 ht="11.25" customHeight="1">
      <c r="A871" s="29"/>
      <c r="B871" s="37"/>
      <c r="C871" s="29"/>
      <c r="D871" s="29"/>
      <c r="E871" s="37"/>
      <c r="F871" s="37"/>
      <c r="G871" s="37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 ht="11.25" customHeight="1">
      <c r="A872" s="29"/>
      <c r="B872" s="37"/>
      <c r="C872" s="29"/>
      <c r="D872" s="29"/>
      <c r="E872" s="37"/>
      <c r="F872" s="37"/>
      <c r="G872" s="37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 ht="11.25" customHeight="1">
      <c r="A873" s="29"/>
      <c r="B873" s="37"/>
      <c r="C873" s="29"/>
      <c r="D873" s="29"/>
      <c r="E873" s="37"/>
      <c r="F873" s="37"/>
      <c r="G873" s="37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 ht="11.25" customHeight="1">
      <c r="A874" s="29"/>
      <c r="B874" s="37"/>
      <c r="C874" s="29"/>
      <c r="D874" s="29"/>
      <c r="E874" s="37"/>
      <c r="F874" s="37"/>
      <c r="G874" s="37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 ht="11.25" customHeight="1">
      <c r="A875" s="29"/>
      <c r="B875" s="37"/>
      <c r="C875" s="29"/>
      <c r="D875" s="29"/>
      <c r="E875" s="37"/>
      <c r="F875" s="37"/>
      <c r="G875" s="37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 ht="11.25" customHeight="1">
      <c r="A876" s="29"/>
      <c r="B876" s="37"/>
      <c r="C876" s="29"/>
      <c r="D876" s="29"/>
      <c r="E876" s="37"/>
      <c r="F876" s="37"/>
      <c r="G876" s="37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 ht="11.25" customHeight="1">
      <c r="A877" s="29"/>
      <c r="B877" s="37"/>
      <c r="C877" s="29"/>
      <c r="D877" s="29"/>
      <c r="E877" s="37"/>
      <c r="F877" s="37"/>
      <c r="G877" s="37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 ht="11.25" customHeight="1">
      <c r="A878" s="29"/>
      <c r="B878" s="37"/>
      <c r="C878" s="29"/>
      <c r="D878" s="29"/>
      <c r="E878" s="37"/>
      <c r="F878" s="37"/>
      <c r="G878" s="37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 ht="11.25" customHeight="1">
      <c r="A879" s="29"/>
      <c r="B879" s="37"/>
      <c r="C879" s="29"/>
      <c r="D879" s="29"/>
      <c r="E879" s="37"/>
      <c r="F879" s="37"/>
      <c r="G879" s="37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 ht="11.25" customHeight="1">
      <c r="A880" s="29"/>
      <c r="B880" s="37"/>
      <c r="C880" s="29"/>
      <c r="D880" s="29"/>
      <c r="E880" s="37"/>
      <c r="F880" s="37"/>
      <c r="G880" s="37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 ht="11.25" customHeight="1">
      <c r="A881" s="29"/>
      <c r="B881" s="37"/>
      <c r="C881" s="29"/>
      <c r="D881" s="29"/>
      <c r="E881" s="37"/>
      <c r="F881" s="37"/>
      <c r="G881" s="37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 ht="11.25" customHeight="1">
      <c r="A882" s="29"/>
      <c r="B882" s="37"/>
      <c r="C882" s="29"/>
      <c r="D882" s="29"/>
      <c r="E882" s="37"/>
      <c r="F882" s="37"/>
      <c r="G882" s="37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  <row r="883" ht="11.25" customHeight="1">
      <c r="A883" s="29"/>
      <c r="B883" s="37"/>
      <c r="C883" s="29"/>
      <c r="D883" s="29"/>
      <c r="E883" s="37"/>
      <c r="F883" s="37"/>
      <c r="G883" s="37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 ht="11.25" customHeight="1">
      <c r="A884" s="29"/>
      <c r="B884" s="37"/>
      <c r="C884" s="29"/>
      <c r="D884" s="29"/>
      <c r="E884" s="37"/>
      <c r="F884" s="37"/>
      <c r="G884" s="37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 ht="11.25" customHeight="1">
      <c r="A885" s="29"/>
      <c r="B885" s="37"/>
      <c r="C885" s="29"/>
      <c r="D885" s="29"/>
      <c r="E885" s="37"/>
      <c r="F885" s="37"/>
      <c r="G885" s="37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 ht="11.25" customHeight="1">
      <c r="A886" s="29"/>
      <c r="B886" s="37"/>
      <c r="C886" s="29"/>
      <c r="D886" s="29"/>
      <c r="E886" s="37"/>
      <c r="F886" s="37"/>
      <c r="G886" s="37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 ht="11.25" customHeight="1">
      <c r="A887" s="29"/>
      <c r="B887" s="37"/>
      <c r="C887" s="29"/>
      <c r="D887" s="29"/>
      <c r="E887" s="37"/>
      <c r="F887" s="37"/>
      <c r="G887" s="37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 ht="11.25" customHeight="1">
      <c r="A888" s="29"/>
      <c r="B888" s="37"/>
      <c r="C888" s="29"/>
      <c r="D888" s="29"/>
      <c r="E888" s="37"/>
      <c r="F888" s="37"/>
      <c r="G888" s="37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  <row r="889" ht="11.25" customHeight="1">
      <c r="A889" s="29"/>
      <c r="B889" s="37"/>
      <c r="C889" s="29"/>
      <c r="D889" s="29"/>
      <c r="E889" s="37"/>
      <c r="F889" s="37"/>
      <c r="G889" s="37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</row>
    <row r="890" ht="11.25" customHeight="1">
      <c r="A890" s="29"/>
      <c r="B890" s="37"/>
      <c r="C890" s="29"/>
      <c r="D890" s="29"/>
      <c r="E890" s="37"/>
      <c r="F890" s="37"/>
      <c r="G890" s="37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</row>
    <row r="891" ht="11.25" customHeight="1">
      <c r="A891" s="29"/>
      <c r="B891" s="37"/>
      <c r="C891" s="29"/>
      <c r="D891" s="29"/>
      <c r="E891" s="37"/>
      <c r="F891" s="37"/>
      <c r="G891" s="37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</row>
    <row r="892" ht="11.25" customHeight="1">
      <c r="A892" s="29"/>
      <c r="B892" s="37"/>
      <c r="C892" s="29"/>
      <c r="D892" s="29"/>
      <c r="E892" s="37"/>
      <c r="F892" s="37"/>
      <c r="G892" s="37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</row>
    <row r="893" ht="11.25" customHeight="1">
      <c r="A893" s="29"/>
      <c r="B893" s="37"/>
      <c r="C893" s="29"/>
      <c r="D893" s="29"/>
      <c r="E893" s="37"/>
      <c r="F893" s="37"/>
      <c r="G893" s="37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</row>
    <row r="894" ht="11.25" customHeight="1">
      <c r="A894" s="29"/>
      <c r="B894" s="37"/>
      <c r="C894" s="29"/>
      <c r="D894" s="29"/>
      <c r="E894" s="37"/>
      <c r="F894" s="37"/>
      <c r="G894" s="37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</row>
    <row r="895" ht="11.25" customHeight="1">
      <c r="A895" s="29"/>
      <c r="B895" s="37"/>
      <c r="C895" s="29"/>
      <c r="D895" s="29"/>
      <c r="E895" s="37"/>
      <c r="F895" s="37"/>
      <c r="G895" s="37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</row>
    <row r="896" ht="11.25" customHeight="1">
      <c r="A896" s="29"/>
      <c r="B896" s="37"/>
      <c r="C896" s="29"/>
      <c r="D896" s="29"/>
      <c r="E896" s="37"/>
      <c r="F896" s="37"/>
      <c r="G896" s="37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</row>
    <row r="897" ht="11.25" customHeight="1">
      <c r="A897" s="29"/>
      <c r="B897" s="37"/>
      <c r="C897" s="29"/>
      <c r="D897" s="29"/>
      <c r="E897" s="37"/>
      <c r="F897" s="37"/>
      <c r="G897" s="37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</row>
    <row r="898" ht="11.25" customHeight="1">
      <c r="A898" s="29"/>
      <c r="B898" s="37"/>
      <c r="C898" s="29"/>
      <c r="D898" s="29"/>
      <c r="E898" s="37"/>
      <c r="F898" s="37"/>
      <c r="G898" s="37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</row>
    <row r="899" ht="11.25" customHeight="1">
      <c r="A899" s="29"/>
      <c r="B899" s="37"/>
      <c r="C899" s="29"/>
      <c r="D899" s="29"/>
      <c r="E899" s="37"/>
      <c r="F899" s="37"/>
      <c r="G899" s="37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</row>
    <row r="900" ht="11.25" customHeight="1">
      <c r="A900" s="29"/>
      <c r="B900" s="37"/>
      <c r="C900" s="29"/>
      <c r="D900" s="29"/>
      <c r="E900" s="37"/>
      <c r="F900" s="37"/>
      <c r="G900" s="37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</row>
    <row r="901" ht="11.25" customHeight="1">
      <c r="A901" s="29"/>
      <c r="B901" s="37"/>
      <c r="C901" s="29"/>
      <c r="D901" s="29"/>
      <c r="E901" s="37"/>
      <c r="F901" s="37"/>
      <c r="G901" s="37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</row>
    <row r="902" ht="11.25" customHeight="1">
      <c r="A902" s="29"/>
      <c r="B902" s="37"/>
      <c r="C902" s="29"/>
      <c r="D902" s="29"/>
      <c r="E902" s="37"/>
      <c r="F902" s="37"/>
      <c r="G902" s="37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</row>
    <row r="903" ht="11.25" customHeight="1">
      <c r="A903" s="29"/>
      <c r="B903" s="37"/>
      <c r="C903" s="29"/>
      <c r="D903" s="29"/>
      <c r="E903" s="37"/>
      <c r="F903" s="37"/>
      <c r="G903" s="37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</row>
    <row r="904" ht="11.25" customHeight="1">
      <c r="A904" s="29"/>
      <c r="B904" s="37"/>
      <c r="C904" s="29"/>
      <c r="D904" s="29"/>
      <c r="E904" s="37"/>
      <c r="F904" s="37"/>
      <c r="G904" s="37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</row>
    <row r="905" ht="11.25" customHeight="1">
      <c r="A905" s="29"/>
      <c r="B905" s="37"/>
      <c r="C905" s="29"/>
      <c r="D905" s="29"/>
      <c r="E905" s="37"/>
      <c r="F905" s="37"/>
      <c r="G905" s="37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</row>
    <row r="906" ht="11.25" customHeight="1">
      <c r="A906" s="29"/>
      <c r="B906" s="37"/>
      <c r="C906" s="29"/>
      <c r="D906" s="29"/>
      <c r="E906" s="37"/>
      <c r="F906" s="37"/>
      <c r="G906" s="37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</row>
    <row r="907" ht="11.25" customHeight="1">
      <c r="A907" s="29"/>
      <c r="B907" s="37"/>
      <c r="C907" s="29"/>
      <c r="D907" s="29"/>
      <c r="E907" s="37"/>
      <c r="F907" s="37"/>
      <c r="G907" s="37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</row>
    <row r="908" ht="11.25" customHeight="1">
      <c r="A908" s="29"/>
      <c r="B908" s="37"/>
      <c r="C908" s="29"/>
      <c r="D908" s="29"/>
      <c r="E908" s="37"/>
      <c r="F908" s="37"/>
      <c r="G908" s="37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</row>
    <row r="909" ht="11.25" customHeight="1">
      <c r="A909" s="29"/>
      <c r="B909" s="37"/>
      <c r="C909" s="29"/>
      <c r="D909" s="29"/>
      <c r="E909" s="37"/>
      <c r="F909" s="37"/>
      <c r="G909" s="37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</row>
    <row r="910" ht="11.25" customHeight="1">
      <c r="A910" s="29"/>
      <c r="B910" s="37"/>
      <c r="C910" s="29"/>
      <c r="D910" s="29"/>
      <c r="E910" s="37"/>
      <c r="F910" s="37"/>
      <c r="G910" s="37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</row>
    <row r="911" ht="11.25" customHeight="1">
      <c r="A911" s="29"/>
      <c r="B911" s="37"/>
      <c r="C911" s="29"/>
      <c r="D911" s="29"/>
      <c r="E911" s="37"/>
      <c r="F911" s="37"/>
      <c r="G911" s="37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</row>
    <row r="912" ht="11.25" customHeight="1">
      <c r="A912" s="29"/>
      <c r="B912" s="37"/>
      <c r="C912" s="29"/>
      <c r="D912" s="29"/>
      <c r="E912" s="37"/>
      <c r="F912" s="37"/>
      <c r="G912" s="37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</row>
    <row r="913" ht="11.25" customHeight="1">
      <c r="A913" s="29"/>
      <c r="B913" s="37"/>
      <c r="C913" s="29"/>
      <c r="D913" s="29"/>
      <c r="E913" s="37"/>
      <c r="F913" s="37"/>
      <c r="G913" s="37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</row>
    <row r="914" ht="11.25" customHeight="1">
      <c r="A914" s="29"/>
      <c r="B914" s="37"/>
      <c r="C914" s="29"/>
      <c r="D914" s="29"/>
      <c r="E914" s="37"/>
      <c r="F914" s="37"/>
      <c r="G914" s="37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</row>
    <row r="915" ht="11.25" customHeight="1">
      <c r="A915" s="29"/>
      <c r="B915" s="37"/>
      <c r="C915" s="29"/>
      <c r="D915" s="29"/>
      <c r="E915" s="37"/>
      <c r="F915" s="37"/>
      <c r="G915" s="37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</row>
    <row r="916" ht="11.25" customHeight="1">
      <c r="A916" s="29"/>
      <c r="B916" s="37"/>
      <c r="C916" s="29"/>
      <c r="D916" s="29"/>
      <c r="E916" s="37"/>
      <c r="F916" s="37"/>
      <c r="G916" s="37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</row>
    <row r="917" ht="11.25" customHeight="1">
      <c r="A917" s="29"/>
      <c r="B917" s="37"/>
      <c r="C917" s="29"/>
      <c r="D917" s="29"/>
      <c r="E917" s="37"/>
      <c r="F917" s="37"/>
      <c r="G917" s="37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</row>
    <row r="918" ht="11.25" customHeight="1">
      <c r="A918" s="29"/>
      <c r="B918" s="37"/>
      <c r="C918" s="29"/>
      <c r="D918" s="29"/>
      <c r="E918" s="37"/>
      <c r="F918" s="37"/>
      <c r="G918" s="37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</row>
    <row r="919" ht="11.25" customHeight="1">
      <c r="A919" s="29"/>
      <c r="B919" s="37"/>
      <c r="C919" s="29"/>
      <c r="D919" s="29"/>
      <c r="E919" s="37"/>
      <c r="F919" s="37"/>
      <c r="G919" s="37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</row>
    <row r="920" ht="11.25" customHeight="1">
      <c r="A920" s="29"/>
      <c r="B920" s="37"/>
      <c r="C920" s="29"/>
      <c r="D920" s="29"/>
      <c r="E920" s="37"/>
      <c r="F920" s="37"/>
      <c r="G920" s="37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</row>
    <row r="921" ht="11.25" customHeight="1">
      <c r="A921" s="29"/>
      <c r="B921" s="37"/>
      <c r="C921" s="29"/>
      <c r="D921" s="29"/>
      <c r="E921" s="37"/>
      <c r="F921" s="37"/>
      <c r="G921" s="37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</row>
    <row r="922" ht="11.25" customHeight="1">
      <c r="A922" s="29"/>
      <c r="B922" s="37"/>
      <c r="C922" s="29"/>
      <c r="D922" s="29"/>
      <c r="E922" s="37"/>
      <c r="F922" s="37"/>
      <c r="G922" s="37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</row>
    <row r="923" ht="11.25" customHeight="1">
      <c r="A923" s="29"/>
      <c r="B923" s="37"/>
      <c r="C923" s="29"/>
      <c r="D923" s="29"/>
      <c r="E923" s="37"/>
      <c r="F923" s="37"/>
      <c r="G923" s="37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</row>
    <row r="924" ht="11.25" customHeight="1">
      <c r="A924" s="29"/>
      <c r="B924" s="37"/>
      <c r="C924" s="29"/>
      <c r="D924" s="29"/>
      <c r="E924" s="37"/>
      <c r="F924" s="37"/>
      <c r="G924" s="37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</row>
    <row r="925" ht="11.25" customHeight="1">
      <c r="A925" s="29"/>
      <c r="B925" s="37"/>
      <c r="C925" s="29"/>
      <c r="D925" s="29"/>
      <c r="E925" s="37"/>
      <c r="F925" s="37"/>
      <c r="G925" s="37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</row>
    <row r="926" ht="11.25" customHeight="1">
      <c r="A926" s="29"/>
      <c r="B926" s="37"/>
      <c r="C926" s="29"/>
      <c r="D926" s="29"/>
      <c r="E926" s="37"/>
      <c r="F926" s="37"/>
      <c r="G926" s="37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</row>
    <row r="927" ht="11.25" customHeight="1">
      <c r="A927" s="29"/>
      <c r="B927" s="37"/>
      <c r="C927" s="29"/>
      <c r="D927" s="29"/>
      <c r="E927" s="37"/>
      <c r="F927" s="37"/>
      <c r="G927" s="37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</row>
    <row r="928" ht="11.25" customHeight="1">
      <c r="A928" s="29"/>
      <c r="B928" s="37"/>
      <c r="C928" s="29"/>
      <c r="D928" s="29"/>
      <c r="E928" s="37"/>
      <c r="F928" s="37"/>
      <c r="G928" s="37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</row>
    <row r="929" ht="11.25" customHeight="1">
      <c r="A929" s="29"/>
      <c r="B929" s="37"/>
      <c r="C929" s="29"/>
      <c r="D929" s="29"/>
      <c r="E929" s="37"/>
      <c r="F929" s="37"/>
      <c r="G929" s="37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</row>
    <row r="930" ht="11.25" customHeight="1">
      <c r="A930" s="29"/>
      <c r="B930" s="37"/>
      <c r="C930" s="29"/>
      <c r="D930" s="29"/>
      <c r="E930" s="37"/>
      <c r="F930" s="37"/>
      <c r="G930" s="37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</row>
    <row r="931" ht="11.25" customHeight="1">
      <c r="A931" s="29"/>
      <c r="B931" s="37"/>
      <c r="C931" s="29"/>
      <c r="D931" s="29"/>
      <c r="E931" s="37"/>
      <c r="F931" s="37"/>
      <c r="G931" s="37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</row>
    <row r="932" ht="11.25" customHeight="1">
      <c r="A932" s="29"/>
      <c r="B932" s="37"/>
      <c r="C932" s="29"/>
      <c r="D932" s="29"/>
      <c r="E932" s="37"/>
      <c r="F932" s="37"/>
      <c r="G932" s="37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</row>
    <row r="933" ht="11.25" customHeight="1">
      <c r="A933" s="29"/>
      <c r="B933" s="37"/>
      <c r="C933" s="29"/>
      <c r="D933" s="29"/>
      <c r="E933" s="37"/>
      <c r="F933" s="37"/>
      <c r="G933" s="37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</row>
    <row r="934" ht="11.25" customHeight="1">
      <c r="A934" s="29"/>
      <c r="B934" s="37"/>
      <c r="C934" s="29"/>
      <c r="D934" s="29"/>
      <c r="E934" s="37"/>
      <c r="F934" s="37"/>
      <c r="G934" s="37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</row>
    <row r="935" ht="11.25" customHeight="1">
      <c r="A935" s="29"/>
      <c r="B935" s="37"/>
      <c r="C935" s="29"/>
      <c r="D935" s="29"/>
      <c r="E935" s="37"/>
      <c r="F935" s="37"/>
      <c r="G935" s="37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</row>
    <row r="936" ht="11.25" customHeight="1">
      <c r="A936" s="29"/>
      <c r="B936" s="37"/>
      <c r="C936" s="29"/>
      <c r="D936" s="29"/>
      <c r="E936" s="37"/>
      <c r="F936" s="37"/>
      <c r="G936" s="37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</row>
    <row r="937" ht="11.25" customHeight="1">
      <c r="A937" s="29"/>
      <c r="B937" s="37"/>
      <c r="C937" s="29"/>
      <c r="D937" s="29"/>
      <c r="E937" s="37"/>
      <c r="F937" s="37"/>
      <c r="G937" s="37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</row>
    <row r="938" ht="11.25" customHeight="1">
      <c r="A938" s="29"/>
      <c r="B938" s="37"/>
      <c r="C938" s="29"/>
      <c r="D938" s="29"/>
      <c r="E938" s="37"/>
      <c r="F938" s="37"/>
      <c r="G938" s="37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</row>
    <row r="939" ht="11.25" customHeight="1">
      <c r="A939" s="29"/>
      <c r="B939" s="37"/>
      <c r="C939" s="29"/>
      <c r="D939" s="29"/>
      <c r="E939" s="37"/>
      <c r="F939" s="37"/>
      <c r="G939" s="37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</row>
    <row r="940" ht="11.25" customHeight="1">
      <c r="A940" s="29"/>
      <c r="B940" s="37"/>
      <c r="C940" s="29"/>
      <c r="D940" s="29"/>
      <c r="E940" s="37"/>
      <c r="F940" s="37"/>
      <c r="G940" s="37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</row>
    <row r="941" ht="11.25" customHeight="1">
      <c r="A941" s="29"/>
      <c r="B941" s="37"/>
      <c r="C941" s="29"/>
      <c r="D941" s="29"/>
      <c r="E941" s="37"/>
      <c r="F941" s="37"/>
      <c r="G941" s="37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</row>
    <row r="942" ht="11.25" customHeight="1">
      <c r="A942" s="29"/>
      <c r="B942" s="37"/>
      <c r="C942" s="29"/>
      <c r="D942" s="29"/>
      <c r="E942" s="37"/>
      <c r="F942" s="37"/>
      <c r="G942" s="37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</row>
    <row r="943" ht="11.25" customHeight="1">
      <c r="A943" s="29"/>
      <c r="B943" s="37"/>
      <c r="C943" s="29"/>
      <c r="D943" s="29"/>
      <c r="E943" s="37"/>
      <c r="F943" s="37"/>
      <c r="G943" s="37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</row>
    <row r="944" ht="11.25" customHeight="1">
      <c r="A944" s="29"/>
      <c r="B944" s="37"/>
      <c r="C944" s="29"/>
      <c r="D944" s="29"/>
      <c r="E944" s="37"/>
      <c r="F944" s="37"/>
      <c r="G944" s="37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</row>
    <row r="945" ht="11.25" customHeight="1">
      <c r="A945" s="29"/>
      <c r="B945" s="37"/>
      <c r="C945" s="29"/>
      <c r="D945" s="29"/>
      <c r="E945" s="37"/>
      <c r="F945" s="37"/>
      <c r="G945" s="37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</row>
    <row r="946" ht="11.25" customHeight="1">
      <c r="A946" s="29"/>
      <c r="B946" s="37"/>
      <c r="C946" s="29"/>
      <c r="D946" s="29"/>
      <c r="E946" s="37"/>
      <c r="F946" s="37"/>
      <c r="G946" s="37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</row>
    <row r="947" ht="11.25" customHeight="1">
      <c r="A947" s="29"/>
      <c r="B947" s="37"/>
      <c r="C947" s="29"/>
      <c r="D947" s="29"/>
      <c r="E947" s="37"/>
      <c r="F947" s="37"/>
      <c r="G947" s="37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</row>
    <row r="948" ht="11.25" customHeight="1">
      <c r="A948" s="29"/>
      <c r="B948" s="37"/>
      <c r="C948" s="29"/>
      <c r="D948" s="29"/>
      <c r="E948" s="37"/>
      <c r="F948" s="37"/>
      <c r="G948" s="37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</row>
    <row r="949" ht="11.25" customHeight="1">
      <c r="A949" s="29"/>
      <c r="B949" s="37"/>
      <c r="C949" s="29"/>
      <c r="D949" s="29"/>
      <c r="E949" s="37"/>
      <c r="F949" s="37"/>
      <c r="G949" s="37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</row>
    <row r="950" ht="11.25" customHeight="1">
      <c r="A950" s="29"/>
      <c r="B950" s="37"/>
      <c r="C950" s="29"/>
      <c r="D950" s="29"/>
      <c r="E950" s="37"/>
      <c r="F950" s="37"/>
      <c r="G950" s="37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</row>
    <row r="951" ht="11.25" customHeight="1">
      <c r="A951" s="29"/>
      <c r="B951" s="37"/>
      <c r="C951" s="29"/>
      <c r="D951" s="29"/>
      <c r="E951" s="37"/>
      <c r="F951" s="37"/>
      <c r="G951" s="37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</row>
    <row r="952" ht="11.25" customHeight="1">
      <c r="A952" s="29"/>
      <c r="B952" s="37"/>
      <c r="C952" s="29"/>
      <c r="D952" s="29"/>
      <c r="E952" s="37"/>
      <c r="F952" s="37"/>
      <c r="G952" s="37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</row>
    <row r="953" ht="11.25" customHeight="1">
      <c r="A953" s="29"/>
      <c r="B953" s="37"/>
      <c r="C953" s="29"/>
      <c r="D953" s="29"/>
      <c r="E953" s="37"/>
      <c r="F953" s="37"/>
      <c r="G953" s="37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</row>
    <row r="954" ht="11.25" customHeight="1">
      <c r="A954" s="29"/>
      <c r="B954" s="37"/>
      <c r="C954" s="29"/>
      <c r="D954" s="29"/>
      <c r="E954" s="37"/>
      <c r="F954" s="37"/>
      <c r="G954" s="37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</row>
    <row r="955" ht="11.25" customHeight="1">
      <c r="A955" s="29"/>
      <c r="B955" s="37"/>
      <c r="C955" s="29"/>
      <c r="D955" s="29"/>
      <c r="E955" s="37"/>
      <c r="F955" s="37"/>
      <c r="G955" s="37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</row>
    <row r="956" ht="11.25" customHeight="1">
      <c r="A956" s="29"/>
      <c r="B956" s="37"/>
      <c r="C956" s="29"/>
      <c r="D956" s="29"/>
      <c r="E956" s="37"/>
      <c r="F956" s="37"/>
      <c r="G956" s="37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</row>
    <row r="957" ht="11.25" customHeight="1">
      <c r="A957" s="29"/>
      <c r="B957" s="37"/>
      <c r="C957" s="29"/>
      <c r="D957" s="29"/>
      <c r="E957" s="37"/>
      <c r="F957" s="37"/>
      <c r="G957" s="37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</row>
    <row r="958" ht="11.25" customHeight="1">
      <c r="A958" s="29"/>
      <c r="B958" s="37"/>
      <c r="C958" s="29"/>
      <c r="D958" s="29"/>
      <c r="E958" s="37"/>
      <c r="F958" s="37"/>
      <c r="G958" s="37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</row>
    <row r="959" ht="11.25" customHeight="1">
      <c r="A959" s="29"/>
      <c r="B959" s="37"/>
      <c r="C959" s="29"/>
      <c r="D959" s="29"/>
      <c r="E959" s="37"/>
      <c r="F959" s="37"/>
      <c r="G959" s="37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</row>
    <row r="960" ht="11.25" customHeight="1">
      <c r="A960" s="29"/>
      <c r="B960" s="37"/>
      <c r="C960" s="29"/>
      <c r="D960" s="29"/>
      <c r="E960" s="37"/>
      <c r="F960" s="37"/>
      <c r="G960" s="37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</row>
    <row r="961" ht="11.25" customHeight="1">
      <c r="A961" s="29"/>
      <c r="B961" s="37"/>
      <c r="C961" s="29"/>
      <c r="D961" s="29"/>
      <c r="E961" s="37"/>
      <c r="F961" s="37"/>
      <c r="G961" s="37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</row>
    <row r="962" ht="11.25" customHeight="1">
      <c r="A962" s="29"/>
      <c r="B962" s="37"/>
      <c r="C962" s="29"/>
      <c r="D962" s="29"/>
      <c r="E962" s="37"/>
      <c r="F962" s="37"/>
      <c r="G962" s="37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</row>
    <row r="963" ht="11.25" customHeight="1">
      <c r="A963" s="29"/>
      <c r="B963" s="37"/>
      <c r="C963" s="29"/>
      <c r="D963" s="29"/>
      <c r="E963" s="37"/>
      <c r="F963" s="37"/>
      <c r="G963" s="37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</row>
    <row r="964" ht="11.25" customHeight="1">
      <c r="A964" s="29"/>
      <c r="B964" s="37"/>
      <c r="C964" s="29"/>
      <c r="D964" s="29"/>
      <c r="E964" s="37"/>
      <c r="F964" s="37"/>
      <c r="G964" s="37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</row>
    <row r="965" ht="11.25" customHeight="1">
      <c r="A965" s="29"/>
      <c r="B965" s="37"/>
      <c r="C965" s="29"/>
      <c r="D965" s="29"/>
      <c r="E965" s="37"/>
      <c r="F965" s="37"/>
      <c r="G965" s="37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</row>
    <row r="966" ht="11.25" customHeight="1">
      <c r="A966" s="29"/>
      <c r="B966" s="37"/>
      <c r="C966" s="29"/>
      <c r="D966" s="29"/>
      <c r="E966" s="37"/>
      <c r="F966" s="37"/>
      <c r="G966" s="37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</row>
    <row r="967" ht="11.25" customHeight="1">
      <c r="A967" s="29"/>
      <c r="B967" s="37"/>
      <c r="C967" s="29"/>
      <c r="D967" s="29"/>
      <c r="E967" s="37"/>
      <c r="F967" s="37"/>
      <c r="G967" s="37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</row>
    <row r="968" ht="11.25" customHeight="1">
      <c r="A968" s="29"/>
      <c r="B968" s="37"/>
      <c r="C968" s="29"/>
      <c r="D968" s="29"/>
      <c r="E968" s="37"/>
      <c r="F968" s="37"/>
      <c r="G968" s="37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</row>
    <row r="969" ht="11.25" customHeight="1">
      <c r="A969" s="29"/>
      <c r="B969" s="37"/>
      <c r="C969" s="29"/>
      <c r="D969" s="29"/>
      <c r="E969" s="37"/>
      <c r="F969" s="37"/>
      <c r="G969" s="37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</row>
    <row r="970" ht="11.25" customHeight="1">
      <c r="A970" s="29"/>
      <c r="B970" s="37"/>
      <c r="C970" s="29"/>
      <c r="D970" s="29"/>
      <c r="E970" s="37"/>
      <c r="F970" s="37"/>
      <c r="G970" s="37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</row>
    <row r="971" ht="11.25" customHeight="1">
      <c r="A971" s="29"/>
      <c r="B971" s="37"/>
      <c r="C971" s="29"/>
      <c r="D971" s="29"/>
      <c r="E971" s="37"/>
      <c r="F971" s="37"/>
      <c r="G971" s="37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</row>
    <row r="972" ht="11.25" customHeight="1">
      <c r="A972" s="29"/>
      <c r="B972" s="37"/>
      <c r="C972" s="29"/>
      <c r="D972" s="29"/>
      <c r="E972" s="37"/>
      <c r="F972" s="37"/>
      <c r="G972" s="37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</row>
    <row r="973" ht="11.25" customHeight="1">
      <c r="A973" s="29"/>
      <c r="B973" s="37"/>
      <c r="C973" s="29"/>
      <c r="D973" s="29"/>
      <c r="E973" s="37"/>
      <c r="F973" s="37"/>
      <c r="G973" s="37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</row>
    <row r="974" ht="11.25" customHeight="1">
      <c r="A974" s="29"/>
      <c r="B974" s="37"/>
      <c r="C974" s="29"/>
      <c r="D974" s="29"/>
      <c r="E974" s="37"/>
      <c r="F974" s="37"/>
      <c r="G974" s="37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</row>
    <row r="975" ht="11.25" customHeight="1">
      <c r="A975" s="29"/>
      <c r="B975" s="37"/>
      <c r="C975" s="29"/>
      <c r="D975" s="29"/>
      <c r="E975" s="37"/>
      <c r="F975" s="37"/>
      <c r="G975" s="37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</row>
    <row r="976" ht="11.25" customHeight="1">
      <c r="A976" s="29"/>
      <c r="B976" s="37"/>
      <c r="C976" s="29"/>
      <c r="D976" s="29"/>
      <c r="E976" s="37"/>
      <c r="F976" s="37"/>
      <c r="G976" s="37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</row>
    <row r="977" ht="11.25" customHeight="1">
      <c r="A977" s="29"/>
      <c r="B977" s="37"/>
      <c r="C977" s="29"/>
      <c r="D977" s="29"/>
      <c r="E977" s="37"/>
      <c r="F977" s="37"/>
      <c r="G977" s="37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</row>
    <row r="978" ht="11.25" customHeight="1">
      <c r="A978" s="29"/>
      <c r="B978" s="37"/>
      <c r="C978" s="29"/>
      <c r="D978" s="29"/>
      <c r="E978" s="37"/>
      <c r="F978" s="37"/>
      <c r="G978" s="37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</row>
    <row r="979" ht="11.25" customHeight="1">
      <c r="A979" s="29"/>
      <c r="B979" s="37"/>
      <c r="C979" s="29"/>
      <c r="D979" s="29"/>
      <c r="E979" s="37"/>
      <c r="F979" s="37"/>
      <c r="G979" s="37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</row>
    <row r="980" ht="11.25" customHeight="1">
      <c r="A980" s="29"/>
      <c r="B980" s="37"/>
      <c r="C980" s="29"/>
      <c r="D980" s="29"/>
      <c r="E980" s="37"/>
      <c r="F980" s="37"/>
      <c r="G980" s="37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</row>
    <row r="981" ht="11.25" customHeight="1">
      <c r="A981" s="29"/>
      <c r="B981" s="37"/>
      <c r="C981" s="29"/>
      <c r="D981" s="29"/>
      <c r="E981" s="37"/>
      <c r="F981" s="37"/>
      <c r="G981" s="37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</row>
    <row r="982" ht="11.25" customHeight="1">
      <c r="A982" s="29"/>
      <c r="B982" s="37"/>
      <c r="C982" s="29"/>
      <c r="D982" s="29"/>
      <c r="E982" s="37"/>
      <c r="F982" s="37"/>
      <c r="G982" s="37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</row>
    <row r="983" ht="11.25" customHeight="1">
      <c r="A983" s="29"/>
      <c r="B983" s="37"/>
      <c r="C983" s="29"/>
      <c r="D983" s="29"/>
      <c r="E983" s="37"/>
      <c r="F983" s="37"/>
      <c r="G983" s="37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</row>
    <row r="984" ht="11.25" customHeight="1">
      <c r="A984" s="29"/>
      <c r="B984" s="37"/>
      <c r="C984" s="29"/>
      <c r="D984" s="29"/>
      <c r="E984" s="37"/>
      <c r="F984" s="37"/>
      <c r="G984" s="37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</row>
    <row r="985" ht="11.25" customHeight="1">
      <c r="A985" s="29"/>
      <c r="B985" s="37"/>
      <c r="C985" s="29"/>
      <c r="D985" s="29"/>
      <c r="E985" s="37"/>
      <c r="F985" s="37"/>
      <c r="G985" s="37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</row>
    <row r="986" ht="11.25" customHeight="1">
      <c r="A986" s="29"/>
      <c r="B986" s="37"/>
      <c r="C986" s="29"/>
      <c r="D986" s="29"/>
      <c r="E986" s="37"/>
      <c r="F986" s="37"/>
      <c r="G986" s="37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</row>
    <row r="987" ht="11.25" customHeight="1">
      <c r="A987" s="29"/>
      <c r="B987" s="37"/>
      <c r="C987" s="29"/>
      <c r="D987" s="29"/>
      <c r="E987" s="37"/>
      <c r="F987" s="37"/>
      <c r="G987" s="37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</row>
    <row r="988" ht="11.25" customHeight="1">
      <c r="A988" s="29"/>
      <c r="B988" s="37"/>
      <c r="C988" s="29"/>
      <c r="D988" s="29"/>
      <c r="E988" s="37"/>
      <c r="F988" s="37"/>
      <c r="G988" s="37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</row>
    <row r="989" ht="11.25" customHeight="1">
      <c r="A989" s="29"/>
      <c r="B989" s="37"/>
      <c r="C989" s="29"/>
      <c r="D989" s="29"/>
      <c r="E989" s="37"/>
      <c r="F989" s="37"/>
      <c r="G989" s="37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</row>
    <row r="990" ht="11.25" customHeight="1">
      <c r="A990" s="29"/>
      <c r="B990" s="37"/>
      <c r="C990" s="29"/>
      <c r="D990" s="29"/>
      <c r="E990" s="37"/>
      <c r="F990" s="37"/>
      <c r="G990" s="37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</row>
    <row r="991" ht="11.25" customHeight="1">
      <c r="A991" s="29"/>
      <c r="B991" s="37"/>
      <c r="C991" s="29"/>
      <c r="D991" s="29"/>
      <c r="E991" s="37"/>
      <c r="F991" s="37"/>
      <c r="G991" s="37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</row>
    <row r="992" ht="11.25" customHeight="1">
      <c r="A992" s="29"/>
      <c r="B992" s="37"/>
      <c r="C992" s="29"/>
      <c r="D992" s="29"/>
      <c r="E992" s="37"/>
      <c r="F992" s="37"/>
      <c r="G992" s="37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</row>
    <row r="993" ht="11.25" customHeight="1">
      <c r="A993" s="29"/>
      <c r="B993" s="37"/>
      <c r="C993" s="29"/>
      <c r="D993" s="29"/>
      <c r="E993" s="37"/>
      <c r="F993" s="37"/>
      <c r="G993" s="37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</row>
    <row r="994" ht="11.25" customHeight="1">
      <c r="A994" s="29"/>
      <c r="B994" s="37"/>
      <c r="C994" s="29"/>
      <c r="D994" s="29"/>
      <c r="E994" s="37"/>
      <c r="F994" s="37"/>
      <c r="G994" s="37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</row>
    <row r="995" ht="11.25" customHeight="1">
      <c r="A995" s="29"/>
      <c r="B995" s="37"/>
      <c r="C995" s="29"/>
      <c r="D995" s="29"/>
      <c r="E995" s="37"/>
      <c r="F995" s="37"/>
      <c r="G995" s="37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</row>
    <row r="996" ht="11.25" customHeight="1">
      <c r="A996" s="29"/>
      <c r="B996" s="37"/>
      <c r="C996" s="29"/>
      <c r="D996" s="29"/>
      <c r="E996" s="37"/>
      <c r="F996" s="37"/>
      <c r="G996" s="37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</row>
    <row r="997" ht="11.25" customHeight="1">
      <c r="A997" s="29"/>
      <c r="B997" s="37"/>
      <c r="C997" s="29"/>
      <c r="D997" s="29"/>
      <c r="E997" s="37"/>
      <c r="F997" s="37"/>
      <c r="G997" s="37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</row>
    <row r="998" ht="11.25" customHeight="1">
      <c r="A998" s="29"/>
      <c r="B998" s="37"/>
      <c r="C998" s="29"/>
      <c r="D998" s="29"/>
      <c r="E998" s="37"/>
      <c r="F998" s="37"/>
      <c r="G998" s="37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</row>
    <row r="999" ht="11.25" customHeight="1">
      <c r="A999" s="29"/>
      <c r="B999" s="37"/>
      <c r="C999" s="29"/>
      <c r="D999" s="29"/>
      <c r="E999" s="37"/>
      <c r="F999" s="37"/>
      <c r="G999" s="37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</row>
    <row r="1000" ht="11.25" customHeight="1">
      <c r="A1000" s="29"/>
      <c r="B1000" s="37"/>
      <c r="C1000" s="29"/>
      <c r="D1000" s="29"/>
      <c r="E1000" s="37"/>
      <c r="F1000" s="37"/>
      <c r="G1000" s="37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</row>
  </sheetData>
  <autoFilter ref="$A$12:$G$28"/>
  <mergeCells count="8">
    <mergeCell ref="A1:P1"/>
    <mergeCell ref="A2:G2"/>
    <mergeCell ref="A3:G3"/>
    <mergeCell ref="A4:G4"/>
    <mergeCell ref="A5:G5"/>
    <mergeCell ref="A7:B7"/>
    <mergeCell ref="A8:G8"/>
    <mergeCell ref="A9:B9"/>
  </mergeCell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4E78"/>
    <pageSetUpPr/>
  </sheetPr>
  <sheetViews>
    <sheetView showGridLines="0" workbookViewId="0"/>
  </sheetViews>
  <sheetFormatPr customHeight="1" defaultColWidth="12.63" defaultRowHeight="15.0"/>
  <cols>
    <col customWidth="1" min="1" max="1" width="23.63"/>
    <col customWidth="1" min="2" max="2" width="25.75"/>
    <col customWidth="1" min="3" max="3" width="43.75"/>
    <col customWidth="1" min="4" max="4" width="41.75"/>
    <col customWidth="1" min="5" max="5" width="19.75"/>
    <col customWidth="1" min="6" max="7" width="14.75"/>
    <col customWidth="1" min="8" max="8" width="11.75"/>
    <col customWidth="1" min="9" max="26" width="10.88"/>
  </cols>
  <sheetData>
    <row r="1" ht="83.25" customHeight="1">
      <c r="A1" s="13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ht="23.25" customHeight="1">
      <c r="A2" s="1" t="s">
        <v>0</v>
      </c>
      <c r="H2" s="15"/>
      <c r="I2" s="15"/>
      <c r="J2" s="15"/>
      <c r="K2" s="15"/>
      <c r="L2" s="15"/>
      <c r="M2" s="15"/>
      <c r="N2" s="15"/>
      <c r="O2" s="15"/>
      <c r="P2" s="15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ht="23.25" customHeight="1">
      <c r="A3" s="1" t="s">
        <v>1</v>
      </c>
      <c r="H3" s="15"/>
      <c r="I3" s="15"/>
      <c r="J3" s="15"/>
      <c r="K3" s="15"/>
      <c r="L3" s="15"/>
      <c r="M3" s="15"/>
      <c r="N3" s="15"/>
      <c r="O3" s="15"/>
      <c r="P3" s="15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ht="23.25" customHeight="1">
      <c r="A4" s="5" t="s">
        <v>7</v>
      </c>
      <c r="H4" s="15"/>
      <c r="I4" s="15"/>
      <c r="J4" s="15"/>
      <c r="K4" s="15"/>
      <c r="L4" s="15"/>
      <c r="M4" s="15"/>
      <c r="N4" s="15"/>
      <c r="O4" s="15"/>
      <c r="P4" s="15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ht="24.0" customHeight="1">
      <c r="A5" s="6" t="s">
        <v>4</v>
      </c>
      <c r="H5" s="3"/>
      <c r="I5" s="3"/>
      <c r="J5" s="3"/>
      <c r="K5" s="3"/>
      <c r="L5" s="3"/>
      <c r="M5" s="3"/>
      <c r="N5" s="3"/>
      <c r="O5" s="3"/>
      <c r="P5" s="3"/>
      <c r="Q5" s="4"/>
      <c r="R5" s="4"/>
      <c r="S5" s="4"/>
      <c r="T5" s="4"/>
      <c r="U5" s="4"/>
      <c r="V5" s="4"/>
      <c r="W5" s="4"/>
      <c r="X5" s="4"/>
      <c r="Y5" s="4"/>
      <c r="Z5" s="4"/>
    </row>
    <row r="6" ht="13.5" customHeight="1">
      <c r="A6" s="19"/>
      <c r="B6" s="19"/>
      <c r="C6" s="19"/>
      <c r="D6" s="19"/>
      <c r="E6" s="19"/>
      <c r="F6" s="19"/>
      <c r="G6" s="19"/>
      <c r="H6" s="13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23.25" customHeight="1">
      <c r="A7" s="18" t="s">
        <v>8</v>
      </c>
      <c r="C7" s="19"/>
      <c r="D7" s="19"/>
      <c r="E7" s="19"/>
      <c r="F7" s="19"/>
      <c r="G7" s="19"/>
      <c r="H7" s="13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39.0" customHeight="1">
      <c r="A8" s="41" t="s">
        <v>301</v>
      </c>
      <c r="H8" s="13"/>
      <c r="I8" s="13"/>
      <c r="J8" s="13"/>
      <c r="K8" s="13"/>
      <c r="L8" s="13"/>
      <c r="M8" s="13"/>
      <c r="N8" s="13"/>
      <c r="O8" s="13"/>
      <c r="P8" s="13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ht="13.5" customHeight="1">
      <c r="A9" s="39"/>
      <c r="B9" s="39"/>
      <c r="C9" s="39"/>
      <c r="D9" s="39"/>
      <c r="E9" s="39"/>
      <c r="F9" s="39"/>
      <c r="G9" s="39"/>
      <c r="H9" s="13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ht="11.25" customHeight="1">
      <c r="A10" s="18" t="s">
        <v>10</v>
      </c>
      <c r="B10" s="18">
        <v>4.0</v>
      </c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ht="11.25" customHeight="1">
      <c r="A11" s="18" t="s">
        <v>11</v>
      </c>
      <c r="B11" s="18" t="s">
        <v>302</v>
      </c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ht="11.25" customHeight="1">
      <c r="A12" s="10" t="s">
        <v>13</v>
      </c>
      <c r="B12" s="10" t="s">
        <v>14</v>
      </c>
      <c r="C12" s="10" t="s">
        <v>15</v>
      </c>
      <c r="D12" s="10" t="s">
        <v>16</v>
      </c>
      <c r="E12" s="10" t="s">
        <v>17</v>
      </c>
      <c r="F12" s="10" t="s">
        <v>18</v>
      </c>
      <c r="G12" s="10" t="s">
        <v>19</v>
      </c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ht="11.25" customHeight="1">
      <c r="A13" s="27" t="s">
        <v>20</v>
      </c>
      <c r="B13" s="28" t="s">
        <v>21</v>
      </c>
      <c r="C13" s="28" t="s">
        <v>21</v>
      </c>
      <c r="D13" s="28" t="s">
        <v>22</v>
      </c>
      <c r="E13" s="28" t="s">
        <v>23</v>
      </c>
      <c r="F13" s="11" t="s">
        <v>24</v>
      </c>
      <c r="G13" s="11">
        <v>2.0</v>
      </c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11.25" customHeight="1">
      <c r="A14" s="27" t="s">
        <v>25</v>
      </c>
      <c r="B14" s="28" t="s">
        <v>26</v>
      </c>
      <c r="C14" s="28" t="s">
        <v>27</v>
      </c>
      <c r="D14" s="28" t="s">
        <v>28</v>
      </c>
      <c r="E14" s="28" t="s">
        <v>23</v>
      </c>
      <c r="F14" s="11" t="s">
        <v>24</v>
      </c>
      <c r="G14" s="11">
        <v>2.0</v>
      </c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11.25" customHeight="1">
      <c r="A15" s="27" t="s">
        <v>29</v>
      </c>
      <c r="B15" s="28" t="s">
        <v>30</v>
      </c>
      <c r="C15" s="28" t="s">
        <v>31</v>
      </c>
      <c r="D15" s="28" t="s">
        <v>28</v>
      </c>
      <c r="E15" s="28" t="s">
        <v>23</v>
      </c>
      <c r="F15" s="11" t="s">
        <v>24</v>
      </c>
      <c r="G15" s="11">
        <v>7.0</v>
      </c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11.25" customHeight="1">
      <c r="A16" s="27" t="s">
        <v>145</v>
      </c>
      <c r="B16" s="28" t="s">
        <v>146</v>
      </c>
      <c r="C16" s="28" t="s">
        <v>146</v>
      </c>
      <c r="D16" s="28" t="s">
        <v>147</v>
      </c>
      <c r="E16" s="28" t="s">
        <v>23</v>
      </c>
      <c r="F16" s="11" t="s">
        <v>24</v>
      </c>
      <c r="G16" s="11">
        <v>2.0</v>
      </c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11.25" customHeight="1">
      <c r="A17" s="27" t="s">
        <v>303</v>
      </c>
      <c r="B17" s="28" t="s">
        <v>304</v>
      </c>
      <c r="C17" s="28" t="s">
        <v>271</v>
      </c>
      <c r="D17" s="35" t="s">
        <v>305</v>
      </c>
      <c r="E17" s="28" t="s">
        <v>23</v>
      </c>
      <c r="F17" s="11" t="s">
        <v>24</v>
      </c>
      <c r="G17" s="11">
        <v>2.0</v>
      </c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11.25" customHeight="1">
      <c r="A18" s="27" t="s">
        <v>306</v>
      </c>
      <c r="B18" s="28" t="s">
        <v>307</v>
      </c>
      <c r="C18" s="28" t="s">
        <v>308</v>
      </c>
      <c r="D18" s="28" t="s">
        <v>309</v>
      </c>
      <c r="E18" s="28" t="s">
        <v>98</v>
      </c>
      <c r="F18" s="11" t="s">
        <v>99</v>
      </c>
      <c r="G18" s="11">
        <v>4.0</v>
      </c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11.25" customHeight="1">
      <c r="A19" s="27" t="s">
        <v>310</v>
      </c>
      <c r="B19" s="28" t="s">
        <v>311</v>
      </c>
      <c r="C19" s="28" t="s">
        <v>312</v>
      </c>
      <c r="D19" s="28" t="s">
        <v>288</v>
      </c>
      <c r="E19" s="28" t="s">
        <v>289</v>
      </c>
      <c r="F19" s="11" t="s">
        <v>36</v>
      </c>
      <c r="G19" s="11">
        <v>1.0</v>
      </c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11.25" customHeight="1">
      <c r="A20" s="27" t="s">
        <v>313</v>
      </c>
      <c r="B20" s="28" t="s">
        <v>314</v>
      </c>
      <c r="C20" s="28" t="s">
        <v>315</v>
      </c>
      <c r="D20" s="28" t="s">
        <v>316</v>
      </c>
      <c r="E20" s="28" t="s">
        <v>98</v>
      </c>
      <c r="F20" s="11" t="s">
        <v>99</v>
      </c>
      <c r="G20" s="11">
        <v>3.0</v>
      </c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11.25" customHeight="1">
      <c r="A21" s="27" t="s">
        <v>317</v>
      </c>
      <c r="B21" s="28" t="s">
        <v>318</v>
      </c>
      <c r="C21" s="28" t="s">
        <v>319</v>
      </c>
      <c r="D21" s="28" t="s">
        <v>320</v>
      </c>
      <c r="E21" s="28" t="s">
        <v>289</v>
      </c>
      <c r="F21" s="11" t="s">
        <v>36</v>
      </c>
      <c r="G21" s="11">
        <v>6.0</v>
      </c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ht="11.25" customHeight="1">
      <c r="A22" s="27" t="s">
        <v>108</v>
      </c>
      <c r="B22" s="28" t="s">
        <v>109</v>
      </c>
      <c r="C22" s="28" t="s">
        <v>110</v>
      </c>
      <c r="D22" s="28" t="s">
        <v>111</v>
      </c>
      <c r="E22" s="28" t="s">
        <v>35</v>
      </c>
      <c r="F22" s="11" t="s">
        <v>36</v>
      </c>
      <c r="G22" s="11">
        <v>1.0</v>
      </c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ht="11.25" customHeight="1">
      <c r="A23" s="27" t="s">
        <v>112</v>
      </c>
      <c r="B23" s="28" t="s">
        <v>27</v>
      </c>
      <c r="C23" s="28" t="s">
        <v>110</v>
      </c>
      <c r="D23" s="28" t="s">
        <v>22</v>
      </c>
      <c r="E23" s="28" t="s">
        <v>23</v>
      </c>
      <c r="F23" s="11" t="s">
        <v>24</v>
      </c>
      <c r="G23" s="11">
        <v>4.0</v>
      </c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ht="11.25" customHeight="1">
      <c r="A24" s="27" t="s">
        <v>113</v>
      </c>
      <c r="B24" s="28" t="s">
        <v>114</v>
      </c>
      <c r="C24" s="28" t="s">
        <v>110</v>
      </c>
      <c r="D24" s="28"/>
      <c r="E24" s="28" t="s">
        <v>23</v>
      </c>
      <c r="F24" s="11" t="s">
        <v>24</v>
      </c>
      <c r="G24" s="11">
        <v>21.0</v>
      </c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ht="11.25" customHeight="1">
      <c r="A25" s="27" t="s">
        <v>259</v>
      </c>
      <c r="B25" s="28" t="s">
        <v>260</v>
      </c>
      <c r="C25" s="28" t="s">
        <v>261</v>
      </c>
      <c r="D25" s="28"/>
      <c r="E25" s="28" t="s">
        <v>23</v>
      </c>
      <c r="F25" s="11" t="s">
        <v>24</v>
      </c>
      <c r="G25" s="11">
        <v>23.0</v>
      </c>
      <c r="H25" s="29"/>
      <c r="I25" s="29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 ht="11.25" customHeight="1">
      <c r="A26" s="27" t="s">
        <v>321</v>
      </c>
      <c r="B26" s="28" t="s">
        <v>322</v>
      </c>
      <c r="C26" s="28" t="s">
        <v>323</v>
      </c>
      <c r="D26" s="28"/>
      <c r="E26" s="28" t="s">
        <v>23</v>
      </c>
      <c r="F26" s="11" t="s">
        <v>24</v>
      </c>
      <c r="G26" s="11">
        <v>25.0</v>
      </c>
      <c r="H26" s="29"/>
      <c r="I26" s="29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 ht="11.25" customHeight="1">
      <c r="A27" s="38" t="s">
        <v>324</v>
      </c>
      <c r="B27" s="37"/>
      <c r="C27" s="29"/>
      <c r="D27" s="29"/>
      <c r="E27" s="37"/>
      <c r="F27" s="37"/>
      <c r="G27" s="37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ht="11.25" customHeight="1">
      <c r="A28" s="29"/>
      <c r="B28" s="37"/>
      <c r="C28" s="29"/>
      <c r="D28" s="29"/>
      <c r="E28" s="37"/>
      <c r="F28" s="37"/>
      <c r="G28" s="37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ht="11.25" customHeight="1">
      <c r="A29" s="29"/>
      <c r="B29" s="37"/>
      <c r="C29" s="29"/>
      <c r="D29" s="29"/>
      <c r="E29" s="37"/>
      <c r="F29" s="37"/>
      <c r="G29" s="37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ht="11.25" customHeight="1">
      <c r="A30" s="29"/>
      <c r="B30" s="37"/>
      <c r="C30" s="29"/>
      <c r="D30" s="29"/>
      <c r="E30" s="37"/>
      <c r="F30" s="37"/>
      <c r="G30" s="37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ht="11.25" customHeight="1">
      <c r="A31" s="29"/>
      <c r="B31" s="37"/>
      <c r="C31" s="29"/>
      <c r="D31" s="29"/>
      <c r="E31" s="37"/>
      <c r="F31" s="37"/>
      <c r="G31" s="37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ht="11.25" customHeight="1">
      <c r="A32" s="29"/>
      <c r="B32" s="37"/>
      <c r="C32" s="29"/>
      <c r="D32" s="29"/>
      <c r="E32" s="37"/>
      <c r="F32" s="37"/>
      <c r="G32" s="37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ht="11.25" customHeight="1">
      <c r="A33" s="29"/>
      <c r="B33" s="37"/>
      <c r="C33" s="29"/>
      <c r="D33" s="29"/>
      <c r="E33" s="37"/>
      <c r="F33" s="37"/>
      <c r="G33" s="37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 ht="11.25" customHeight="1">
      <c r="A34" s="29"/>
      <c r="B34" s="37"/>
      <c r="C34" s="29"/>
      <c r="D34" s="29"/>
      <c r="E34" s="37"/>
      <c r="F34" s="37"/>
      <c r="G34" s="37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 ht="11.25" customHeight="1">
      <c r="A35" s="29"/>
      <c r="B35" s="37"/>
      <c r="C35" s="29"/>
      <c r="D35" s="29"/>
      <c r="E35" s="37"/>
      <c r="F35" s="37"/>
      <c r="G35" s="37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 ht="11.25" customHeight="1">
      <c r="A36" s="29"/>
      <c r="B36" s="37"/>
      <c r="C36" s="29"/>
      <c r="D36" s="29"/>
      <c r="E36" s="37"/>
      <c r="F36" s="37"/>
      <c r="G36" s="37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 ht="11.25" customHeight="1">
      <c r="A37" s="29"/>
      <c r="B37" s="37"/>
      <c r="C37" s="29"/>
      <c r="D37" s="29"/>
      <c r="E37" s="37"/>
      <c r="F37" s="37"/>
      <c r="G37" s="37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 ht="11.25" customHeight="1">
      <c r="A38" s="29"/>
      <c r="B38" s="37"/>
      <c r="C38" s="29"/>
      <c r="D38" s="29"/>
      <c r="E38" s="37"/>
      <c r="F38" s="37"/>
      <c r="G38" s="37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 ht="11.25" customHeight="1">
      <c r="A39" s="29"/>
      <c r="B39" s="37"/>
      <c r="C39" s="29"/>
      <c r="D39" s="29"/>
      <c r="E39" s="37"/>
      <c r="F39" s="37"/>
      <c r="G39" s="37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 ht="11.25" customHeight="1">
      <c r="A40" s="29"/>
      <c r="B40" s="37"/>
      <c r="C40" s="29"/>
      <c r="D40" s="29"/>
      <c r="E40" s="37"/>
      <c r="F40" s="37"/>
      <c r="G40" s="37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 ht="11.25" customHeight="1">
      <c r="A41" s="29"/>
      <c r="B41" s="37"/>
      <c r="C41" s="29"/>
      <c r="D41" s="29"/>
      <c r="E41" s="37"/>
      <c r="F41" s="37"/>
      <c r="G41" s="37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 ht="11.25" customHeight="1">
      <c r="A42" s="29"/>
      <c r="B42" s="37"/>
      <c r="C42" s="29"/>
      <c r="D42" s="29"/>
      <c r="E42" s="37"/>
      <c r="F42" s="37"/>
      <c r="G42" s="37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 ht="11.25" customHeight="1">
      <c r="A43" s="29"/>
      <c r="B43" s="37"/>
      <c r="C43" s="29"/>
      <c r="D43" s="29"/>
      <c r="E43" s="37"/>
      <c r="F43" s="37"/>
      <c r="G43" s="37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 ht="11.25" customHeight="1">
      <c r="A44" s="29"/>
      <c r="B44" s="37"/>
      <c r="C44" s="29"/>
      <c r="D44" s="29"/>
      <c r="E44" s="37"/>
      <c r="F44" s="37"/>
      <c r="G44" s="37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 ht="11.25" customHeight="1">
      <c r="A45" s="29"/>
      <c r="B45" s="37"/>
      <c r="C45" s="29"/>
      <c r="D45" s="29"/>
      <c r="E45" s="37"/>
      <c r="F45" s="37"/>
      <c r="G45" s="37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 ht="11.25" customHeight="1">
      <c r="A46" s="29"/>
      <c r="B46" s="37"/>
      <c r="C46" s="29"/>
      <c r="D46" s="29"/>
      <c r="E46" s="37"/>
      <c r="F46" s="37"/>
      <c r="G46" s="37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 ht="11.25" customHeight="1">
      <c r="A47" s="29"/>
      <c r="B47" s="37"/>
      <c r="C47" s="29"/>
      <c r="D47" s="29"/>
      <c r="E47" s="37"/>
      <c r="F47" s="37"/>
      <c r="G47" s="37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 ht="11.25" customHeight="1">
      <c r="A48" s="29"/>
      <c r="B48" s="37"/>
      <c r="C48" s="29"/>
      <c r="D48" s="29"/>
      <c r="E48" s="37"/>
      <c r="F48" s="37"/>
      <c r="G48" s="37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 ht="11.25" customHeight="1">
      <c r="A49" s="29"/>
      <c r="B49" s="37"/>
      <c r="C49" s="29"/>
      <c r="D49" s="29"/>
      <c r="E49" s="37"/>
      <c r="F49" s="37"/>
      <c r="G49" s="37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 ht="11.25" customHeight="1">
      <c r="A50" s="29"/>
      <c r="B50" s="37"/>
      <c r="C50" s="29"/>
      <c r="D50" s="29"/>
      <c r="E50" s="37"/>
      <c r="F50" s="37"/>
      <c r="G50" s="37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 ht="11.25" customHeight="1">
      <c r="A51" s="29"/>
      <c r="B51" s="37"/>
      <c r="C51" s="29"/>
      <c r="D51" s="29"/>
      <c r="E51" s="37"/>
      <c r="F51" s="37"/>
      <c r="G51" s="37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 ht="11.25" customHeight="1">
      <c r="A52" s="29"/>
      <c r="B52" s="37"/>
      <c r="C52" s="29"/>
      <c r="D52" s="29"/>
      <c r="E52" s="37"/>
      <c r="F52" s="37"/>
      <c r="G52" s="37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 ht="11.25" customHeight="1">
      <c r="A53" s="29"/>
      <c r="B53" s="37"/>
      <c r="C53" s="29"/>
      <c r="D53" s="29"/>
      <c r="E53" s="37"/>
      <c r="F53" s="37"/>
      <c r="G53" s="37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 ht="11.25" customHeight="1">
      <c r="A54" s="29"/>
      <c r="B54" s="37"/>
      <c r="C54" s="29"/>
      <c r="D54" s="29"/>
      <c r="E54" s="37"/>
      <c r="F54" s="37"/>
      <c r="G54" s="37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 ht="11.25" customHeight="1">
      <c r="A55" s="29"/>
      <c r="B55" s="37"/>
      <c r="C55" s="29"/>
      <c r="D55" s="29"/>
      <c r="E55" s="37"/>
      <c r="F55" s="37"/>
      <c r="G55" s="37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 ht="11.25" customHeight="1">
      <c r="A56" s="29"/>
      <c r="B56" s="37"/>
      <c r="C56" s="29"/>
      <c r="D56" s="29"/>
      <c r="E56" s="37"/>
      <c r="F56" s="37"/>
      <c r="G56" s="37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 ht="11.25" customHeight="1">
      <c r="A57" s="29"/>
      <c r="B57" s="37"/>
      <c r="C57" s="29"/>
      <c r="D57" s="29"/>
      <c r="E57" s="37"/>
      <c r="F57" s="37"/>
      <c r="G57" s="37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 ht="11.25" customHeight="1">
      <c r="A58" s="29"/>
      <c r="B58" s="37"/>
      <c r="C58" s="29"/>
      <c r="D58" s="29"/>
      <c r="E58" s="37"/>
      <c r="F58" s="37"/>
      <c r="G58" s="37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 ht="11.25" customHeight="1">
      <c r="A59" s="29"/>
      <c r="B59" s="37"/>
      <c r="C59" s="29"/>
      <c r="D59" s="29"/>
      <c r="E59" s="37"/>
      <c r="F59" s="37"/>
      <c r="G59" s="37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 ht="11.25" customHeight="1">
      <c r="A60" s="29"/>
      <c r="B60" s="37"/>
      <c r="C60" s="29"/>
      <c r="D60" s="29"/>
      <c r="E60" s="37"/>
      <c r="F60" s="37"/>
      <c r="G60" s="37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 ht="11.25" customHeight="1">
      <c r="A61" s="29"/>
      <c r="B61" s="37"/>
      <c r="C61" s="29"/>
      <c r="D61" s="29"/>
      <c r="E61" s="37"/>
      <c r="F61" s="37"/>
      <c r="G61" s="37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 ht="11.25" customHeight="1">
      <c r="A62" s="29"/>
      <c r="B62" s="37"/>
      <c r="C62" s="29"/>
      <c r="D62" s="29"/>
      <c r="E62" s="37"/>
      <c r="F62" s="37"/>
      <c r="G62" s="37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 ht="11.25" customHeight="1">
      <c r="A63" s="29"/>
      <c r="B63" s="37"/>
      <c r="C63" s="29"/>
      <c r="D63" s="29"/>
      <c r="E63" s="37"/>
      <c r="F63" s="37"/>
      <c r="G63" s="37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 ht="11.25" customHeight="1">
      <c r="A64" s="29"/>
      <c r="B64" s="37"/>
      <c r="C64" s="29"/>
      <c r="D64" s="29"/>
      <c r="E64" s="37"/>
      <c r="F64" s="37"/>
      <c r="G64" s="37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 ht="11.25" customHeight="1">
      <c r="A65" s="29"/>
      <c r="B65" s="37"/>
      <c r="C65" s="29"/>
      <c r="D65" s="29"/>
      <c r="E65" s="37"/>
      <c r="F65" s="37"/>
      <c r="G65" s="37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 ht="11.25" customHeight="1">
      <c r="A66" s="29"/>
      <c r="B66" s="37"/>
      <c r="C66" s="29"/>
      <c r="D66" s="29"/>
      <c r="E66" s="37"/>
      <c r="F66" s="37"/>
      <c r="G66" s="37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 ht="11.25" customHeight="1">
      <c r="A67" s="29"/>
      <c r="B67" s="37"/>
      <c r="C67" s="29"/>
      <c r="D67" s="29"/>
      <c r="E67" s="37"/>
      <c r="F67" s="37"/>
      <c r="G67" s="37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 ht="11.25" customHeight="1">
      <c r="A68" s="29"/>
      <c r="B68" s="37"/>
      <c r="C68" s="29"/>
      <c r="D68" s="29"/>
      <c r="E68" s="37"/>
      <c r="F68" s="37"/>
      <c r="G68" s="37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 ht="11.25" customHeight="1">
      <c r="A69" s="29"/>
      <c r="B69" s="37"/>
      <c r="C69" s="29"/>
      <c r="D69" s="29"/>
      <c r="E69" s="37"/>
      <c r="F69" s="37"/>
      <c r="G69" s="37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 ht="11.25" customHeight="1">
      <c r="A70" s="29"/>
      <c r="B70" s="37"/>
      <c r="C70" s="29"/>
      <c r="D70" s="29"/>
      <c r="E70" s="37"/>
      <c r="F70" s="37"/>
      <c r="G70" s="37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 ht="11.25" customHeight="1">
      <c r="A71" s="29"/>
      <c r="B71" s="37"/>
      <c r="C71" s="29"/>
      <c r="D71" s="29"/>
      <c r="E71" s="37"/>
      <c r="F71" s="37"/>
      <c r="G71" s="37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 ht="11.25" customHeight="1">
      <c r="A72" s="29"/>
      <c r="B72" s="37"/>
      <c r="C72" s="29"/>
      <c r="D72" s="29"/>
      <c r="E72" s="37"/>
      <c r="F72" s="37"/>
      <c r="G72" s="37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 ht="11.25" customHeight="1">
      <c r="A73" s="29"/>
      <c r="B73" s="37"/>
      <c r="C73" s="29"/>
      <c r="D73" s="29"/>
      <c r="E73" s="37"/>
      <c r="F73" s="37"/>
      <c r="G73" s="37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 ht="11.25" customHeight="1">
      <c r="A74" s="29"/>
      <c r="B74" s="37"/>
      <c r="C74" s="29"/>
      <c r="D74" s="29"/>
      <c r="E74" s="37"/>
      <c r="F74" s="37"/>
      <c r="G74" s="37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 ht="11.25" customHeight="1">
      <c r="A75" s="29"/>
      <c r="B75" s="37"/>
      <c r="C75" s="29"/>
      <c r="D75" s="29"/>
      <c r="E75" s="37"/>
      <c r="F75" s="37"/>
      <c r="G75" s="37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 ht="11.25" customHeight="1">
      <c r="A76" s="29"/>
      <c r="B76" s="37"/>
      <c r="C76" s="29"/>
      <c r="D76" s="29"/>
      <c r="E76" s="37"/>
      <c r="F76" s="37"/>
      <c r="G76" s="37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 ht="11.25" customHeight="1">
      <c r="A77" s="29"/>
      <c r="B77" s="37"/>
      <c r="C77" s="29"/>
      <c r="D77" s="29"/>
      <c r="E77" s="37"/>
      <c r="F77" s="37"/>
      <c r="G77" s="37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 ht="11.25" customHeight="1">
      <c r="A78" s="29"/>
      <c r="B78" s="37"/>
      <c r="C78" s="29"/>
      <c r="D78" s="29"/>
      <c r="E78" s="37"/>
      <c r="F78" s="37"/>
      <c r="G78" s="37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 ht="11.25" customHeight="1">
      <c r="A79" s="29"/>
      <c r="B79" s="37"/>
      <c r="C79" s="29"/>
      <c r="D79" s="29"/>
      <c r="E79" s="37"/>
      <c r="F79" s="37"/>
      <c r="G79" s="37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 ht="11.25" customHeight="1">
      <c r="A80" s="29"/>
      <c r="B80" s="37"/>
      <c r="C80" s="29"/>
      <c r="D80" s="29"/>
      <c r="E80" s="37"/>
      <c r="F80" s="37"/>
      <c r="G80" s="37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 ht="11.25" customHeight="1">
      <c r="A81" s="29"/>
      <c r="B81" s="37"/>
      <c r="C81" s="29"/>
      <c r="D81" s="29"/>
      <c r="E81" s="37"/>
      <c r="F81" s="37"/>
      <c r="G81" s="37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 ht="11.25" customHeight="1">
      <c r="A82" s="29"/>
      <c r="B82" s="37"/>
      <c r="C82" s="29"/>
      <c r="D82" s="29"/>
      <c r="E82" s="37"/>
      <c r="F82" s="37"/>
      <c r="G82" s="37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 ht="11.25" customHeight="1">
      <c r="A83" s="29"/>
      <c r="B83" s="37"/>
      <c r="C83" s="29"/>
      <c r="D83" s="29"/>
      <c r="E83" s="37"/>
      <c r="F83" s="37"/>
      <c r="G83" s="37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 ht="11.25" customHeight="1">
      <c r="A84" s="29"/>
      <c r="B84" s="37"/>
      <c r="C84" s="29"/>
      <c r="D84" s="29"/>
      <c r="E84" s="37"/>
      <c r="F84" s="37"/>
      <c r="G84" s="37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 ht="11.25" customHeight="1">
      <c r="A85" s="29"/>
      <c r="B85" s="37"/>
      <c r="C85" s="29"/>
      <c r="D85" s="29"/>
      <c r="E85" s="37"/>
      <c r="F85" s="37"/>
      <c r="G85" s="37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 ht="11.25" customHeight="1">
      <c r="A86" s="29"/>
      <c r="B86" s="37"/>
      <c r="C86" s="29"/>
      <c r="D86" s="29"/>
      <c r="E86" s="37"/>
      <c r="F86" s="37"/>
      <c r="G86" s="37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 ht="11.25" customHeight="1">
      <c r="A87" s="29"/>
      <c r="B87" s="37"/>
      <c r="C87" s="29"/>
      <c r="D87" s="29"/>
      <c r="E87" s="37"/>
      <c r="F87" s="37"/>
      <c r="G87" s="37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 ht="11.25" customHeight="1">
      <c r="A88" s="29"/>
      <c r="B88" s="37"/>
      <c r="C88" s="29"/>
      <c r="D88" s="29"/>
      <c r="E88" s="37"/>
      <c r="F88" s="37"/>
      <c r="G88" s="37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 ht="11.25" customHeight="1">
      <c r="A89" s="29"/>
      <c r="B89" s="37"/>
      <c r="C89" s="29"/>
      <c r="D89" s="29"/>
      <c r="E89" s="37"/>
      <c r="F89" s="37"/>
      <c r="G89" s="37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 ht="11.25" customHeight="1">
      <c r="A90" s="29"/>
      <c r="B90" s="37"/>
      <c r="C90" s="29"/>
      <c r="D90" s="29"/>
      <c r="E90" s="37"/>
      <c r="F90" s="37"/>
      <c r="G90" s="37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 ht="11.25" customHeight="1">
      <c r="A91" s="29"/>
      <c r="B91" s="37"/>
      <c r="C91" s="29"/>
      <c r="D91" s="29"/>
      <c r="E91" s="37"/>
      <c r="F91" s="37"/>
      <c r="G91" s="37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 ht="11.25" customHeight="1">
      <c r="A92" s="29"/>
      <c r="B92" s="37"/>
      <c r="C92" s="29"/>
      <c r="D92" s="29"/>
      <c r="E92" s="37"/>
      <c r="F92" s="37"/>
      <c r="G92" s="37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 ht="11.25" customHeight="1">
      <c r="A93" s="29"/>
      <c r="B93" s="37"/>
      <c r="C93" s="29"/>
      <c r="D93" s="29"/>
      <c r="E93" s="37"/>
      <c r="F93" s="37"/>
      <c r="G93" s="37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 ht="11.25" customHeight="1">
      <c r="A94" s="29"/>
      <c r="B94" s="37"/>
      <c r="C94" s="29"/>
      <c r="D94" s="29"/>
      <c r="E94" s="37"/>
      <c r="F94" s="37"/>
      <c r="G94" s="37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 ht="11.25" customHeight="1">
      <c r="A95" s="29"/>
      <c r="B95" s="37"/>
      <c r="C95" s="29"/>
      <c r="D95" s="29"/>
      <c r="E95" s="37"/>
      <c r="F95" s="37"/>
      <c r="G95" s="37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 ht="11.25" customHeight="1">
      <c r="A96" s="29"/>
      <c r="B96" s="37"/>
      <c r="C96" s="29"/>
      <c r="D96" s="29"/>
      <c r="E96" s="37"/>
      <c r="F96" s="37"/>
      <c r="G96" s="37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 ht="11.25" customHeight="1">
      <c r="A97" s="29"/>
      <c r="B97" s="37"/>
      <c r="C97" s="29"/>
      <c r="D97" s="29"/>
      <c r="E97" s="37"/>
      <c r="F97" s="37"/>
      <c r="G97" s="37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 ht="11.25" customHeight="1">
      <c r="A98" s="29"/>
      <c r="B98" s="37"/>
      <c r="C98" s="29"/>
      <c r="D98" s="29"/>
      <c r="E98" s="37"/>
      <c r="F98" s="37"/>
      <c r="G98" s="37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 ht="11.25" customHeight="1">
      <c r="A99" s="29"/>
      <c r="B99" s="37"/>
      <c r="C99" s="29"/>
      <c r="D99" s="29"/>
      <c r="E99" s="37"/>
      <c r="F99" s="37"/>
      <c r="G99" s="37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 ht="11.25" customHeight="1">
      <c r="A100" s="29"/>
      <c r="B100" s="37"/>
      <c r="C100" s="29"/>
      <c r="D100" s="29"/>
      <c r="E100" s="37"/>
      <c r="F100" s="37"/>
      <c r="G100" s="37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 ht="11.25" customHeight="1">
      <c r="A101" s="29"/>
      <c r="B101" s="37"/>
      <c r="C101" s="29"/>
      <c r="D101" s="29"/>
      <c r="E101" s="37"/>
      <c r="F101" s="37"/>
      <c r="G101" s="37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 ht="11.25" customHeight="1">
      <c r="A102" s="29"/>
      <c r="B102" s="37"/>
      <c r="C102" s="29"/>
      <c r="D102" s="29"/>
      <c r="E102" s="37"/>
      <c r="F102" s="37"/>
      <c r="G102" s="37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 ht="11.25" customHeight="1">
      <c r="A103" s="29"/>
      <c r="B103" s="37"/>
      <c r="C103" s="29"/>
      <c r="D103" s="29"/>
      <c r="E103" s="37"/>
      <c r="F103" s="37"/>
      <c r="G103" s="37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 ht="11.25" customHeight="1">
      <c r="A104" s="29"/>
      <c r="B104" s="37"/>
      <c r="C104" s="29"/>
      <c r="D104" s="29"/>
      <c r="E104" s="37"/>
      <c r="F104" s="37"/>
      <c r="G104" s="37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 ht="11.25" customHeight="1">
      <c r="A105" s="29"/>
      <c r="B105" s="37"/>
      <c r="C105" s="29"/>
      <c r="D105" s="29"/>
      <c r="E105" s="37"/>
      <c r="F105" s="37"/>
      <c r="G105" s="37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 ht="11.25" customHeight="1">
      <c r="A106" s="29"/>
      <c r="B106" s="37"/>
      <c r="C106" s="29"/>
      <c r="D106" s="29"/>
      <c r="E106" s="37"/>
      <c r="F106" s="37"/>
      <c r="G106" s="37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 ht="11.25" customHeight="1">
      <c r="A107" s="29"/>
      <c r="B107" s="37"/>
      <c r="C107" s="29"/>
      <c r="D107" s="29"/>
      <c r="E107" s="37"/>
      <c r="F107" s="37"/>
      <c r="G107" s="37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 ht="11.25" customHeight="1">
      <c r="A108" s="29"/>
      <c r="B108" s="37"/>
      <c r="C108" s="29"/>
      <c r="D108" s="29"/>
      <c r="E108" s="37"/>
      <c r="F108" s="37"/>
      <c r="G108" s="37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 ht="11.25" customHeight="1">
      <c r="A109" s="29"/>
      <c r="B109" s="37"/>
      <c r="C109" s="29"/>
      <c r="D109" s="29"/>
      <c r="E109" s="37"/>
      <c r="F109" s="37"/>
      <c r="G109" s="37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 ht="11.25" customHeight="1">
      <c r="A110" s="29"/>
      <c r="B110" s="37"/>
      <c r="C110" s="29"/>
      <c r="D110" s="29"/>
      <c r="E110" s="37"/>
      <c r="F110" s="37"/>
      <c r="G110" s="37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 ht="11.25" customHeight="1">
      <c r="A111" s="29"/>
      <c r="B111" s="37"/>
      <c r="C111" s="29"/>
      <c r="D111" s="29"/>
      <c r="E111" s="37"/>
      <c r="F111" s="37"/>
      <c r="G111" s="37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 ht="11.25" customHeight="1">
      <c r="A112" s="29"/>
      <c r="B112" s="37"/>
      <c r="C112" s="29"/>
      <c r="D112" s="29"/>
      <c r="E112" s="37"/>
      <c r="F112" s="37"/>
      <c r="G112" s="37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 ht="11.25" customHeight="1">
      <c r="A113" s="29"/>
      <c r="B113" s="37"/>
      <c r="C113" s="29"/>
      <c r="D113" s="29"/>
      <c r="E113" s="37"/>
      <c r="F113" s="37"/>
      <c r="G113" s="37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 ht="11.25" customHeight="1">
      <c r="A114" s="29"/>
      <c r="B114" s="37"/>
      <c r="C114" s="29"/>
      <c r="D114" s="29"/>
      <c r="E114" s="37"/>
      <c r="F114" s="37"/>
      <c r="G114" s="37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 ht="11.25" customHeight="1">
      <c r="A115" s="29"/>
      <c r="B115" s="37"/>
      <c r="C115" s="29"/>
      <c r="D115" s="29"/>
      <c r="E115" s="37"/>
      <c r="F115" s="37"/>
      <c r="G115" s="37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 ht="11.25" customHeight="1">
      <c r="A116" s="29"/>
      <c r="B116" s="37"/>
      <c r="C116" s="29"/>
      <c r="D116" s="29"/>
      <c r="E116" s="37"/>
      <c r="F116" s="37"/>
      <c r="G116" s="37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 ht="11.25" customHeight="1">
      <c r="A117" s="29"/>
      <c r="B117" s="37"/>
      <c r="C117" s="29"/>
      <c r="D117" s="29"/>
      <c r="E117" s="37"/>
      <c r="F117" s="37"/>
      <c r="G117" s="37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 ht="11.25" customHeight="1">
      <c r="A118" s="29"/>
      <c r="B118" s="37"/>
      <c r="C118" s="29"/>
      <c r="D118" s="29"/>
      <c r="E118" s="37"/>
      <c r="F118" s="37"/>
      <c r="G118" s="37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 ht="11.25" customHeight="1">
      <c r="A119" s="29"/>
      <c r="B119" s="37"/>
      <c r="C119" s="29"/>
      <c r="D119" s="29"/>
      <c r="E119" s="37"/>
      <c r="F119" s="37"/>
      <c r="G119" s="37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 ht="11.25" customHeight="1">
      <c r="A120" s="29"/>
      <c r="B120" s="37"/>
      <c r="C120" s="29"/>
      <c r="D120" s="29"/>
      <c r="E120" s="37"/>
      <c r="F120" s="37"/>
      <c r="G120" s="37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 ht="11.25" customHeight="1">
      <c r="A121" s="29"/>
      <c r="B121" s="37"/>
      <c r="C121" s="29"/>
      <c r="D121" s="29"/>
      <c r="E121" s="37"/>
      <c r="F121" s="37"/>
      <c r="G121" s="37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 ht="11.25" customHeight="1">
      <c r="A122" s="29"/>
      <c r="B122" s="37"/>
      <c r="C122" s="29"/>
      <c r="D122" s="29"/>
      <c r="E122" s="37"/>
      <c r="F122" s="37"/>
      <c r="G122" s="37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 ht="11.25" customHeight="1">
      <c r="A123" s="29"/>
      <c r="B123" s="37"/>
      <c r="C123" s="29"/>
      <c r="D123" s="29"/>
      <c r="E123" s="37"/>
      <c r="F123" s="37"/>
      <c r="G123" s="37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 ht="11.25" customHeight="1">
      <c r="A124" s="29"/>
      <c r="B124" s="37"/>
      <c r="C124" s="29"/>
      <c r="D124" s="29"/>
      <c r="E124" s="37"/>
      <c r="F124" s="37"/>
      <c r="G124" s="37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 ht="11.25" customHeight="1">
      <c r="A125" s="29"/>
      <c r="B125" s="37"/>
      <c r="C125" s="29"/>
      <c r="D125" s="29"/>
      <c r="E125" s="37"/>
      <c r="F125" s="37"/>
      <c r="G125" s="37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 ht="11.25" customHeight="1">
      <c r="A126" s="29"/>
      <c r="B126" s="37"/>
      <c r="C126" s="29"/>
      <c r="D126" s="29"/>
      <c r="E126" s="37"/>
      <c r="F126" s="37"/>
      <c r="G126" s="37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 ht="11.25" customHeight="1">
      <c r="A127" s="29"/>
      <c r="B127" s="37"/>
      <c r="C127" s="29"/>
      <c r="D127" s="29"/>
      <c r="E127" s="37"/>
      <c r="F127" s="37"/>
      <c r="G127" s="37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 ht="11.25" customHeight="1">
      <c r="A128" s="29"/>
      <c r="B128" s="37"/>
      <c r="C128" s="29"/>
      <c r="D128" s="29"/>
      <c r="E128" s="37"/>
      <c r="F128" s="37"/>
      <c r="G128" s="37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 ht="11.25" customHeight="1">
      <c r="A129" s="29"/>
      <c r="B129" s="37"/>
      <c r="C129" s="29"/>
      <c r="D129" s="29"/>
      <c r="E129" s="37"/>
      <c r="F129" s="37"/>
      <c r="G129" s="37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 ht="11.25" customHeight="1">
      <c r="A130" s="29"/>
      <c r="B130" s="37"/>
      <c r="C130" s="29"/>
      <c r="D130" s="29"/>
      <c r="E130" s="37"/>
      <c r="F130" s="37"/>
      <c r="G130" s="37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 ht="11.25" customHeight="1">
      <c r="A131" s="29"/>
      <c r="B131" s="37"/>
      <c r="C131" s="29"/>
      <c r="D131" s="29"/>
      <c r="E131" s="37"/>
      <c r="F131" s="37"/>
      <c r="G131" s="37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 ht="11.25" customHeight="1">
      <c r="A132" s="29"/>
      <c r="B132" s="37"/>
      <c r="C132" s="29"/>
      <c r="D132" s="29"/>
      <c r="E132" s="37"/>
      <c r="F132" s="37"/>
      <c r="G132" s="37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 ht="11.25" customHeight="1">
      <c r="A133" s="29"/>
      <c r="B133" s="37"/>
      <c r="C133" s="29"/>
      <c r="D133" s="29"/>
      <c r="E133" s="37"/>
      <c r="F133" s="37"/>
      <c r="G133" s="37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 ht="11.25" customHeight="1">
      <c r="A134" s="29"/>
      <c r="B134" s="37"/>
      <c r="C134" s="29"/>
      <c r="D134" s="29"/>
      <c r="E134" s="37"/>
      <c r="F134" s="37"/>
      <c r="G134" s="37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 ht="11.25" customHeight="1">
      <c r="A135" s="29"/>
      <c r="B135" s="37"/>
      <c r="C135" s="29"/>
      <c r="D135" s="29"/>
      <c r="E135" s="37"/>
      <c r="F135" s="37"/>
      <c r="G135" s="37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 ht="11.25" customHeight="1">
      <c r="A136" s="29"/>
      <c r="B136" s="37"/>
      <c r="C136" s="29"/>
      <c r="D136" s="29"/>
      <c r="E136" s="37"/>
      <c r="F136" s="37"/>
      <c r="G136" s="37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 ht="11.25" customHeight="1">
      <c r="A137" s="29"/>
      <c r="B137" s="37"/>
      <c r="C137" s="29"/>
      <c r="D137" s="29"/>
      <c r="E137" s="37"/>
      <c r="F137" s="37"/>
      <c r="G137" s="37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 ht="11.25" customHeight="1">
      <c r="A138" s="29"/>
      <c r="B138" s="37"/>
      <c r="C138" s="29"/>
      <c r="D138" s="29"/>
      <c r="E138" s="37"/>
      <c r="F138" s="37"/>
      <c r="G138" s="37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 ht="11.25" customHeight="1">
      <c r="A139" s="29"/>
      <c r="B139" s="37"/>
      <c r="C139" s="29"/>
      <c r="D139" s="29"/>
      <c r="E139" s="37"/>
      <c r="F139" s="37"/>
      <c r="G139" s="37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 ht="11.25" customHeight="1">
      <c r="A140" s="29"/>
      <c r="B140" s="37"/>
      <c r="C140" s="29"/>
      <c r="D140" s="29"/>
      <c r="E140" s="37"/>
      <c r="F140" s="37"/>
      <c r="G140" s="37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 ht="11.25" customHeight="1">
      <c r="A141" s="29"/>
      <c r="B141" s="37"/>
      <c r="C141" s="29"/>
      <c r="D141" s="29"/>
      <c r="E141" s="37"/>
      <c r="F141" s="37"/>
      <c r="G141" s="37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 ht="11.25" customHeight="1">
      <c r="A142" s="29"/>
      <c r="B142" s="37"/>
      <c r="C142" s="29"/>
      <c r="D142" s="29"/>
      <c r="E142" s="37"/>
      <c r="F142" s="37"/>
      <c r="G142" s="37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 ht="11.25" customHeight="1">
      <c r="A143" s="29"/>
      <c r="B143" s="37"/>
      <c r="C143" s="29"/>
      <c r="D143" s="29"/>
      <c r="E143" s="37"/>
      <c r="F143" s="37"/>
      <c r="G143" s="37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 ht="11.25" customHeight="1">
      <c r="A144" s="29"/>
      <c r="B144" s="37"/>
      <c r="C144" s="29"/>
      <c r="D144" s="29"/>
      <c r="E144" s="37"/>
      <c r="F144" s="37"/>
      <c r="G144" s="37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 ht="11.25" customHeight="1">
      <c r="A145" s="29"/>
      <c r="B145" s="37"/>
      <c r="C145" s="29"/>
      <c r="D145" s="29"/>
      <c r="E145" s="37"/>
      <c r="F145" s="37"/>
      <c r="G145" s="37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 ht="11.25" customHeight="1">
      <c r="A146" s="29"/>
      <c r="B146" s="37"/>
      <c r="C146" s="29"/>
      <c r="D146" s="29"/>
      <c r="E146" s="37"/>
      <c r="F146" s="37"/>
      <c r="G146" s="37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 ht="11.25" customHeight="1">
      <c r="A147" s="29"/>
      <c r="B147" s="37"/>
      <c r="C147" s="29"/>
      <c r="D147" s="29"/>
      <c r="E147" s="37"/>
      <c r="F147" s="37"/>
      <c r="G147" s="37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 ht="11.25" customHeight="1">
      <c r="A148" s="29"/>
      <c r="B148" s="37"/>
      <c r="C148" s="29"/>
      <c r="D148" s="29"/>
      <c r="E148" s="37"/>
      <c r="F148" s="37"/>
      <c r="G148" s="37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 ht="11.25" customHeight="1">
      <c r="A149" s="29"/>
      <c r="B149" s="37"/>
      <c r="C149" s="29"/>
      <c r="D149" s="29"/>
      <c r="E149" s="37"/>
      <c r="F149" s="37"/>
      <c r="G149" s="37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 ht="11.25" customHeight="1">
      <c r="A150" s="29"/>
      <c r="B150" s="37"/>
      <c r="C150" s="29"/>
      <c r="D150" s="29"/>
      <c r="E150" s="37"/>
      <c r="F150" s="37"/>
      <c r="G150" s="37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 ht="11.25" customHeight="1">
      <c r="A151" s="29"/>
      <c r="B151" s="37"/>
      <c r="C151" s="29"/>
      <c r="D151" s="29"/>
      <c r="E151" s="37"/>
      <c r="F151" s="37"/>
      <c r="G151" s="37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 ht="11.25" customHeight="1">
      <c r="A152" s="29"/>
      <c r="B152" s="37"/>
      <c r="C152" s="29"/>
      <c r="D152" s="29"/>
      <c r="E152" s="37"/>
      <c r="F152" s="37"/>
      <c r="G152" s="37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 ht="11.25" customHeight="1">
      <c r="A153" s="29"/>
      <c r="B153" s="37"/>
      <c r="C153" s="29"/>
      <c r="D153" s="29"/>
      <c r="E153" s="37"/>
      <c r="F153" s="37"/>
      <c r="G153" s="37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 ht="11.25" customHeight="1">
      <c r="A154" s="29"/>
      <c r="B154" s="37"/>
      <c r="C154" s="29"/>
      <c r="D154" s="29"/>
      <c r="E154" s="37"/>
      <c r="F154" s="37"/>
      <c r="G154" s="37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 ht="11.25" customHeight="1">
      <c r="A155" s="29"/>
      <c r="B155" s="37"/>
      <c r="C155" s="29"/>
      <c r="D155" s="29"/>
      <c r="E155" s="37"/>
      <c r="F155" s="37"/>
      <c r="G155" s="37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 ht="11.25" customHeight="1">
      <c r="A156" s="29"/>
      <c r="B156" s="37"/>
      <c r="C156" s="29"/>
      <c r="D156" s="29"/>
      <c r="E156" s="37"/>
      <c r="F156" s="37"/>
      <c r="G156" s="37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 ht="11.25" customHeight="1">
      <c r="A157" s="29"/>
      <c r="B157" s="37"/>
      <c r="C157" s="29"/>
      <c r="D157" s="29"/>
      <c r="E157" s="37"/>
      <c r="F157" s="37"/>
      <c r="G157" s="37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 ht="11.25" customHeight="1">
      <c r="A158" s="29"/>
      <c r="B158" s="37"/>
      <c r="C158" s="29"/>
      <c r="D158" s="29"/>
      <c r="E158" s="37"/>
      <c r="F158" s="37"/>
      <c r="G158" s="37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 ht="11.25" customHeight="1">
      <c r="A159" s="29"/>
      <c r="B159" s="37"/>
      <c r="C159" s="29"/>
      <c r="D159" s="29"/>
      <c r="E159" s="37"/>
      <c r="F159" s="37"/>
      <c r="G159" s="37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 ht="11.25" customHeight="1">
      <c r="A160" s="29"/>
      <c r="B160" s="37"/>
      <c r="C160" s="29"/>
      <c r="D160" s="29"/>
      <c r="E160" s="37"/>
      <c r="F160" s="37"/>
      <c r="G160" s="37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 ht="11.25" customHeight="1">
      <c r="A161" s="29"/>
      <c r="B161" s="37"/>
      <c r="C161" s="29"/>
      <c r="D161" s="29"/>
      <c r="E161" s="37"/>
      <c r="F161" s="37"/>
      <c r="G161" s="37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 ht="11.25" customHeight="1">
      <c r="A162" s="29"/>
      <c r="B162" s="37"/>
      <c r="C162" s="29"/>
      <c r="D162" s="29"/>
      <c r="E162" s="37"/>
      <c r="F162" s="37"/>
      <c r="G162" s="37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 ht="11.25" customHeight="1">
      <c r="A163" s="29"/>
      <c r="B163" s="37"/>
      <c r="C163" s="29"/>
      <c r="D163" s="29"/>
      <c r="E163" s="37"/>
      <c r="F163" s="37"/>
      <c r="G163" s="37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 ht="11.25" customHeight="1">
      <c r="A164" s="29"/>
      <c r="B164" s="37"/>
      <c r="C164" s="29"/>
      <c r="D164" s="29"/>
      <c r="E164" s="37"/>
      <c r="F164" s="37"/>
      <c r="G164" s="37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 ht="11.25" customHeight="1">
      <c r="A165" s="29"/>
      <c r="B165" s="37"/>
      <c r="C165" s="29"/>
      <c r="D165" s="29"/>
      <c r="E165" s="37"/>
      <c r="F165" s="37"/>
      <c r="G165" s="37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 ht="11.25" customHeight="1">
      <c r="A166" s="29"/>
      <c r="B166" s="37"/>
      <c r="C166" s="29"/>
      <c r="D166" s="29"/>
      <c r="E166" s="37"/>
      <c r="F166" s="37"/>
      <c r="G166" s="37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 ht="11.25" customHeight="1">
      <c r="A167" s="29"/>
      <c r="B167" s="37"/>
      <c r="C167" s="29"/>
      <c r="D167" s="29"/>
      <c r="E167" s="37"/>
      <c r="F167" s="37"/>
      <c r="G167" s="37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 ht="11.25" customHeight="1">
      <c r="A168" s="29"/>
      <c r="B168" s="37"/>
      <c r="C168" s="29"/>
      <c r="D168" s="29"/>
      <c r="E168" s="37"/>
      <c r="F168" s="37"/>
      <c r="G168" s="37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 ht="11.25" customHeight="1">
      <c r="A169" s="29"/>
      <c r="B169" s="37"/>
      <c r="C169" s="29"/>
      <c r="D169" s="29"/>
      <c r="E169" s="37"/>
      <c r="F169" s="37"/>
      <c r="G169" s="37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 ht="11.25" customHeight="1">
      <c r="A170" s="29"/>
      <c r="B170" s="37"/>
      <c r="C170" s="29"/>
      <c r="D170" s="29"/>
      <c r="E170" s="37"/>
      <c r="F170" s="37"/>
      <c r="G170" s="37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 ht="11.25" customHeight="1">
      <c r="A171" s="29"/>
      <c r="B171" s="37"/>
      <c r="C171" s="29"/>
      <c r="D171" s="29"/>
      <c r="E171" s="37"/>
      <c r="F171" s="37"/>
      <c r="G171" s="37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 ht="11.25" customHeight="1">
      <c r="A172" s="29"/>
      <c r="B172" s="37"/>
      <c r="C172" s="29"/>
      <c r="D172" s="29"/>
      <c r="E172" s="37"/>
      <c r="F172" s="37"/>
      <c r="G172" s="37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 ht="11.25" customHeight="1">
      <c r="A173" s="29"/>
      <c r="B173" s="37"/>
      <c r="C173" s="29"/>
      <c r="D173" s="29"/>
      <c r="E173" s="37"/>
      <c r="F173" s="37"/>
      <c r="G173" s="37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 ht="11.25" customHeight="1">
      <c r="A174" s="29"/>
      <c r="B174" s="37"/>
      <c r="C174" s="29"/>
      <c r="D174" s="29"/>
      <c r="E174" s="37"/>
      <c r="F174" s="37"/>
      <c r="G174" s="37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 ht="11.25" customHeight="1">
      <c r="A175" s="29"/>
      <c r="B175" s="37"/>
      <c r="C175" s="29"/>
      <c r="D175" s="29"/>
      <c r="E175" s="37"/>
      <c r="F175" s="37"/>
      <c r="G175" s="37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 ht="11.25" customHeight="1">
      <c r="A176" s="29"/>
      <c r="B176" s="37"/>
      <c r="C176" s="29"/>
      <c r="D176" s="29"/>
      <c r="E176" s="37"/>
      <c r="F176" s="37"/>
      <c r="G176" s="37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 ht="11.25" customHeight="1">
      <c r="A177" s="29"/>
      <c r="B177" s="37"/>
      <c r="C177" s="29"/>
      <c r="D177" s="29"/>
      <c r="E177" s="37"/>
      <c r="F177" s="37"/>
      <c r="G177" s="37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 ht="11.25" customHeight="1">
      <c r="A178" s="29"/>
      <c r="B178" s="37"/>
      <c r="C178" s="29"/>
      <c r="D178" s="29"/>
      <c r="E178" s="37"/>
      <c r="F178" s="37"/>
      <c r="G178" s="37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 ht="11.25" customHeight="1">
      <c r="A179" s="29"/>
      <c r="B179" s="37"/>
      <c r="C179" s="29"/>
      <c r="D179" s="29"/>
      <c r="E179" s="37"/>
      <c r="F179" s="37"/>
      <c r="G179" s="37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 ht="11.25" customHeight="1">
      <c r="A180" s="29"/>
      <c r="B180" s="37"/>
      <c r="C180" s="29"/>
      <c r="D180" s="29"/>
      <c r="E180" s="37"/>
      <c r="F180" s="37"/>
      <c r="G180" s="37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 ht="11.25" customHeight="1">
      <c r="A181" s="29"/>
      <c r="B181" s="37"/>
      <c r="C181" s="29"/>
      <c r="D181" s="29"/>
      <c r="E181" s="37"/>
      <c r="F181" s="37"/>
      <c r="G181" s="37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 ht="11.25" customHeight="1">
      <c r="A182" s="29"/>
      <c r="B182" s="37"/>
      <c r="C182" s="29"/>
      <c r="D182" s="29"/>
      <c r="E182" s="37"/>
      <c r="F182" s="37"/>
      <c r="G182" s="37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 ht="11.25" customHeight="1">
      <c r="A183" s="29"/>
      <c r="B183" s="37"/>
      <c r="C183" s="29"/>
      <c r="D183" s="29"/>
      <c r="E183" s="37"/>
      <c r="F183" s="37"/>
      <c r="G183" s="37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 ht="11.25" customHeight="1">
      <c r="A184" s="29"/>
      <c r="B184" s="37"/>
      <c r="C184" s="29"/>
      <c r="D184" s="29"/>
      <c r="E184" s="37"/>
      <c r="F184" s="37"/>
      <c r="G184" s="37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 ht="11.25" customHeight="1">
      <c r="A185" s="29"/>
      <c r="B185" s="37"/>
      <c r="C185" s="29"/>
      <c r="D185" s="29"/>
      <c r="E185" s="37"/>
      <c r="F185" s="37"/>
      <c r="G185" s="37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 ht="11.25" customHeight="1">
      <c r="A186" s="29"/>
      <c r="B186" s="37"/>
      <c r="C186" s="29"/>
      <c r="D186" s="29"/>
      <c r="E186" s="37"/>
      <c r="F186" s="37"/>
      <c r="G186" s="37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 ht="11.25" customHeight="1">
      <c r="A187" s="29"/>
      <c r="B187" s="37"/>
      <c r="C187" s="29"/>
      <c r="D187" s="29"/>
      <c r="E187" s="37"/>
      <c r="F187" s="37"/>
      <c r="G187" s="37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 ht="11.25" customHeight="1">
      <c r="A188" s="29"/>
      <c r="B188" s="37"/>
      <c r="C188" s="29"/>
      <c r="D188" s="29"/>
      <c r="E188" s="37"/>
      <c r="F188" s="37"/>
      <c r="G188" s="37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 ht="11.25" customHeight="1">
      <c r="A189" s="29"/>
      <c r="B189" s="37"/>
      <c r="C189" s="29"/>
      <c r="D189" s="29"/>
      <c r="E189" s="37"/>
      <c r="F189" s="37"/>
      <c r="G189" s="37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 ht="11.25" customHeight="1">
      <c r="A190" s="29"/>
      <c r="B190" s="37"/>
      <c r="C190" s="29"/>
      <c r="D190" s="29"/>
      <c r="E190" s="37"/>
      <c r="F190" s="37"/>
      <c r="G190" s="37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 ht="11.25" customHeight="1">
      <c r="A191" s="29"/>
      <c r="B191" s="37"/>
      <c r="C191" s="29"/>
      <c r="D191" s="29"/>
      <c r="E191" s="37"/>
      <c r="F191" s="37"/>
      <c r="G191" s="37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 ht="11.25" customHeight="1">
      <c r="A192" s="29"/>
      <c r="B192" s="37"/>
      <c r="C192" s="29"/>
      <c r="D192" s="29"/>
      <c r="E192" s="37"/>
      <c r="F192" s="37"/>
      <c r="G192" s="37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 ht="11.25" customHeight="1">
      <c r="A193" s="29"/>
      <c r="B193" s="37"/>
      <c r="C193" s="29"/>
      <c r="D193" s="29"/>
      <c r="E193" s="37"/>
      <c r="F193" s="37"/>
      <c r="G193" s="37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 ht="11.25" customHeight="1">
      <c r="A194" s="29"/>
      <c r="B194" s="37"/>
      <c r="C194" s="29"/>
      <c r="D194" s="29"/>
      <c r="E194" s="37"/>
      <c r="F194" s="37"/>
      <c r="G194" s="37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 ht="11.25" customHeight="1">
      <c r="A195" s="29"/>
      <c r="B195" s="37"/>
      <c r="C195" s="29"/>
      <c r="D195" s="29"/>
      <c r="E195" s="37"/>
      <c r="F195" s="37"/>
      <c r="G195" s="37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 ht="11.25" customHeight="1">
      <c r="A196" s="29"/>
      <c r="B196" s="37"/>
      <c r="C196" s="29"/>
      <c r="D196" s="29"/>
      <c r="E196" s="37"/>
      <c r="F196" s="37"/>
      <c r="G196" s="37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 ht="11.25" customHeight="1">
      <c r="A197" s="29"/>
      <c r="B197" s="37"/>
      <c r="C197" s="29"/>
      <c r="D197" s="29"/>
      <c r="E197" s="37"/>
      <c r="F197" s="37"/>
      <c r="G197" s="37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 ht="11.25" customHeight="1">
      <c r="A198" s="29"/>
      <c r="B198" s="37"/>
      <c r="C198" s="29"/>
      <c r="D198" s="29"/>
      <c r="E198" s="37"/>
      <c r="F198" s="37"/>
      <c r="G198" s="37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 ht="11.25" customHeight="1">
      <c r="A199" s="29"/>
      <c r="B199" s="37"/>
      <c r="C199" s="29"/>
      <c r="D199" s="29"/>
      <c r="E199" s="37"/>
      <c r="F199" s="37"/>
      <c r="G199" s="37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 ht="11.25" customHeight="1">
      <c r="A200" s="29"/>
      <c r="B200" s="37"/>
      <c r="C200" s="29"/>
      <c r="D200" s="29"/>
      <c r="E200" s="37"/>
      <c r="F200" s="37"/>
      <c r="G200" s="37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 ht="11.25" customHeight="1">
      <c r="A201" s="29"/>
      <c r="B201" s="37"/>
      <c r="C201" s="29"/>
      <c r="D201" s="29"/>
      <c r="E201" s="37"/>
      <c r="F201" s="37"/>
      <c r="G201" s="37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 ht="11.25" customHeight="1">
      <c r="A202" s="29"/>
      <c r="B202" s="37"/>
      <c r="C202" s="29"/>
      <c r="D202" s="29"/>
      <c r="E202" s="37"/>
      <c r="F202" s="37"/>
      <c r="G202" s="37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 ht="11.25" customHeight="1">
      <c r="A203" s="29"/>
      <c r="B203" s="37"/>
      <c r="C203" s="29"/>
      <c r="D203" s="29"/>
      <c r="E203" s="37"/>
      <c r="F203" s="37"/>
      <c r="G203" s="37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 ht="11.25" customHeight="1">
      <c r="A204" s="29"/>
      <c r="B204" s="37"/>
      <c r="C204" s="29"/>
      <c r="D204" s="29"/>
      <c r="E204" s="37"/>
      <c r="F204" s="37"/>
      <c r="G204" s="37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 ht="11.25" customHeight="1">
      <c r="A205" s="29"/>
      <c r="B205" s="37"/>
      <c r="C205" s="29"/>
      <c r="D205" s="29"/>
      <c r="E205" s="37"/>
      <c r="F205" s="37"/>
      <c r="G205" s="37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 ht="11.25" customHeight="1">
      <c r="A206" s="29"/>
      <c r="B206" s="37"/>
      <c r="C206" s="29"/>
      <c r="D206" s="29"/>
      <c r="E206" s="37"/>
      <c r="F206" s="37"/>
      <c r="G206" s="37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 ht="11.25" customHeight="1">
      <c r="A207" s="29"/>
      <c r="B207" s="37"/>
      <c r="C207" s="29"/>
      <c r="D207" s="29"/>
      <c r="E207" s="37"/>
      <c r="F207" s="37"/>
      <c r="G207" s="37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 ht="11.25" customHeight="1">
      <c r="A208" s="29"/>
      <c r="B208" s="37"/>
      <c r="C208" s="29"/>
      <c r="D208" s="29"/>
      <c r="E208" s="37"/>
      <c r="F208" s="37"/>
      <c r="G208" s="37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 ht="11.25" customHeight="1">
      <c r="A209" s="29"/>
      <c r="B209" s="37"/>
      <c r="C209" s="29"/>
      <c r="D209" s="29"/>
      <c r="E209" s="37"/>
      <c r="F209" s="37"/>
      <c r="G209" s="37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 ht="11.25" customHeight="1">
      <c r="A210" s="29"/>
      <c r="B210" s="37"/>
      <c r="C210" s="29"/>
      <c r="D210" s="29"/>
      <c r="E210" s="37"/>
      <c r="F210" s="37"/>
      <c r="G210" s="37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 ht="11.25" customHeight="1">
      <c r="A211" s="29"/>
      <c r="B211" s="37"/>
      <c r="C211" s="29"/>
      <c r="D211" s="29"/>
      <c r="E211" s="37"/>
      <c r="F211" s="37"/>
      <c r="G211" s="37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 ht="11.25" customHeight="1">
      <c r="A212" s="29"/>
      <c r="B212" s="37"/>
      <c r="C212" s="29"/>
      <c r="D212" s="29"/>
      <c r="E212" s="37"/>
      <c r="F212" s="37"/>
      <c r="G212" s="37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 ht="11.25" customHeight="1">
      <c r="A213" s="29"/>
      <c r="B213" s="37"/>
      <c r="C213" s="29"/>
      <c r="D213" s="29"/>
      <c r="E213" s="37"/>
      <c r="F213" s="37"/>
      <c r="G213" s="37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 ht="11.25" customHeight="1">
      <c r="A214" s="29"/>
      <c r="B214" s="37"/>
      <c r="C214" s="29"/>
      <c r="D214" s="29"/>
      <c r="E214" s="37"/>
      <c r="F214" s="37"/>
      <c r="G214" s="37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 ht="11.25" customHeight="1">
      <c r="A215" s="29"/>
      <c r="B215" s="37"/>
      <c r="C215" s="29"/>
      <c r="D215" s="29"/>
      <c r="E215" s="37"/>
      <c r="F215" s="37"/>
      <c r="G215" s="37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 ht="11.25" customHeight="1">
      <c r="A216" s="29"/>
      <c r="B216" s="37"/>
      <c r="C216" s="29"/>
      <c r="D216" s="29"/>
      <c r="E216" s="37"/>
      <c r="F216" s="37"/>
      <c r="G216" s="37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 ht="11.25" customHeight="1">
      <c r="A217" s="29"/>
      <c r="B217" s="37"/>
      <c r="C217" s="29"/>
      <c r="D217" s="29"/>
      <c r="E217" s="37"/>
      <c r="F217" s="37"/>
      <c r="G217" s="37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 ht="11.25" customHeight="1">
      <c r="A218" s="29"/>
      <c r="B218" s="37"/>
      <c r="C218" s="29"/>
      <c r="D218" s="29"/>
      <c r="E218" s="37"/>
      <c r="F218" s="37"/>
      <c r="G218" s="37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 ht="11.25" customHeight="1">
      <c r="A219" s="29"/>
      <c r="B219" s="37"/>
      <c r="C219" s="29"/>
      <c r="D219" s="29"/>
      <c r="E219" s="37"/>
      <c r="F219" s="37"/>
      <c r="G219" s="37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 ht="11.25" customHeight="1">
      <c r="A220" s="29"/>
      <c r="B220" s="37"/>
      <c r="C220" s="29"/>
      <c r="D220" s="29"/>
      <c r="E220" s="37"/>
      <c r="F220" s="37"/>
      <c r="G220" s="37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 ht="11.25" customHeight="1">
      <c r="A221" s="29"/>
      <c r="B221" s="37"/>
      <c r="C221" s="29"/>
      <c r="D221" s="29"/>
      <c r="E221" s="37"/>
      <c r="F221" s="37"/>
      <c r="G221" s="37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 ht="11.25" customHeight="1">
      <c r="A222" s="29"/>
      <c r="B222" s="37"/>
      <c r="C222" s="29"/>
      <c r="D222" s="29"/>
      <c r="E222" s="37"/>
      <c r="F222" s="37"/>
      <c r="G222" s="37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 ht="11.25" customHeight="1">
      <c r="A223" s="29"/>
      <c r="B223" s="37"/>
      <c r="C223" s="29"/>
      <c r="D223" s="29"/>
      <c r="E223" s="37"/>
      <c r="F223" s="37"/>
      <c r="G223" s="37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 ht="11.25" customHeight="1">
      <c r="A224" s="29"/>
      <c r="B224" s="37"/>
      <c r="C224" s="29"/>
      <c r="D224" s="29"/>
      <c r="E224" s="37"/>
      <c r="F224" s="37"/>
      <c r="G224" s="37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 ht="11.25" customHeight="1">
      <c r="A225" s="29"/>
      <c r="B225" s="37"/>
      <c r="C225" s="29"/>
      <c r="D225" s="29"/>
      <c r="E225" s="37"/>
      <c r="F225" s="37"/>
      <c r="G225" s="37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 ht="11.25" customHeight="1">
      <c r="A226" s="29"/>
      <c r="B226" s="37"/>
      <c r="C226" s="29"/>
      <c r="D226" s="29"/>
      <c r="E226" s="37"/>
      <c r="F226" s="37"/>
      <c r="G226" s="37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 ht="11.25" customHeight="1">
      <c r="A227" s="29"/>
      <c r="B227" s="37"/>
      <c r="C227" s="29"/>
      <c r="D227" s="29"/>
      <c r="E227" s="37"/>
      <c r="F227" s="37"/>
      <c r="G227" s="37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 ht="11.25" customHeight="1">
      <c r="A228" s="29"/>
      <c r="B228" s="37"/>
      <c r="C228" s="29"/>
      <c r="D228" s="29"/>
      <c r="E228" s="37"/>
      <c r="F228" s="37"/>
      <c r="G228" s="37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 ht="11.25" customHeight="1">
      <c r="A229" s="29"/>
      <c r="B229" s="37"/>
      <c r="C229" s="29"/>
      <c r="D229" s="29"/>
      <c r="E229" s="37"/>
      <c r="F229" s="37"/>
      <c r="G229" s="37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 ht="11.25" customHeight="1">
      <c r="A230" s="29"/>
      <c r="B230" s="37"/>
      <c r="C230" s="29"/>
      <c r="D230" s="29"/>
      <c r="E230" s="37"/>
      <c r="F230" s="37"/>
      <c r="G230" s="37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 ht="11.25" customHeight="1">
      <c r="A231" s="29"/>
      <c r="B231" s="37"/>
      <c r="C231" s="29"/>
      <c r="D231" s="29"/>
      <c r="E231" s="37"/>
      <c r="F231" s="37"/>
      <c r="G231" s="37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 ht="11.25" customHeight="1">
      <c r="A232" s="29"/>
      <c r="B232" s="37"/>
      <c r="C232" s="29"/>
      <c r="D232" s="29"/>
      <c r="E232" s="37"/>
      <c r="F232" s="37"/>
      <c r="G232" s="37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 ht="11.25" customHeight="1">
      <c r="A233" s="29"/>
      <c r="B233" s="37"/>
      <c r="C233" s="29"/>
      <c r="D233" s="29"/>
      <c r="E233" s="37"/>
      <c r="F233" s="37"/>
      <c r="G233" s="37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 ht="11.25" customHeight="1">
      <c r="A234" s="29"/>
      <c r="B234" s="37"/>
      <c r="C234" s="29"/>
      <c r="D234" s="29"/>
      <c r="E234" s="37"/>
      <c r="F234" s="37"/>
      <c r="G234" s="37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 ht="11.25" customHeight="1">
      <c r="A235" s="29"/>
      <c r="B235" s="37"/>
      <c r="C235" s="29"/>
      <c r="D235" s="29"/>
      <c r="E235" s="37"/>
      <c r="F235" s="37"/>
      <c r="G235" s="37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 ht="11.25" customHeight="1">
      <c r="A236" s="29"/>
      <c r="B236" s="37"/>
      <c r="C236" s="29"/>
      <c r="D236" s="29"/>
      <c r="E236" s="37"/>
      <c r="F236" s="37"/>
      <c r="G236" s="37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 ht="11.25" customHeight="1">
      <c r="A237" s="29"/>
      <c r="B237" s="37"/>
      <c r="C237" s="29"/>
      <c r="D237" s="29"/>
      <c r="E237" s="37"/>
      <c r="F237" s="37"/>
      <c r="G237" s="37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 ht="11.25" customHeight="1">
      <c r="A238" s="29"/>
      <c r="B238" s="37"/>
      <c r="C238" s="29"/>
      <c r="D238" s="29"/>
      <c r="E238" s="37"/>
      <c r="F238" s="37"/>
      <c r="G238" s="37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 ht="11.25" customHeight="1">
      <c r="A239" s="29"/>
      <c r="B239" s="37"/>
      <c r="C239" s="29"/>
      <c r="D239" s="29"/>
      <c r="E239" s="37"/>
      <c r="F239" s="37"/>
      <c r="G239" s="37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 ht="11.25" customHeight="1">
      <c r="A240" s="29"/>
      <c r="B240" s="37"/>
      <c r="C240" s="29"/>
      <c r="D240" s="29"/>
      <c r="E240" s="37"/>
      <c r="F240" s="37"/>
      <c r="G240" s="37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 ht="11.25" customHeight="1">
      <c r="A241" s="29"/>
      <c r="B241" s="37"/>
      <c r="C241" s="29"/>
      <c r="D241" s="29"/>
      <c r="E241" s="37"/>
      <c r="F241" s="37"/>
      <c r="G241" s="37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 ht="11.25" customHeight="1">
      <c r="A242" s="29"/>
      <c r="B242" s="37"/>
      <c r="C242" s="29"/>
      <c r="D242" s="29"/>
      <c r="E242" s="37"/>
      <c r="F242" s="37"/>
      <c r="G242" s="37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 ht="11.25" customHeight="1">
      <c r="A243" s="29"/>
      <c r="B243" s="37"/>
      <c r="C243" s="29"/>
      <c r="D243" s="29"/>
      <c r="E243" s="37"/>
      <c r="F243" s="37"/>
      <c r="G243" s="37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 ht="11.25" customHeight="1">
      <c r="A244" s="29"/>
      <c r="B244" s="37"/>
      <c r="C244" s="29"/>
      <c r="D244" s="29"/>
      <c r="E244" s="37"/>
      <c r="F244" s="37"/>
      <c r="G244" s="37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 ht="11.25" customHeight="1">
      <c r="A245" s="29"/>
      <c r="B245" s="37"/>
      <c r="C245" s="29"/>
      <c r="D245" s="29"/>
      <c r="E245" s="37"/>
      <c r="F245" s="37"/>
      <c r="G245" s="37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 ht="11.25" customHeight="1">
      <c r="A246" s="29"/>
      <c r="B246" s="37"/>
      <c r="C246" s="29"/>
      <c r="D246" s="29"/>
      <c r="E246" s="37"/>
      <c r="F246" s="37"/>
      <c r="G246" s="37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 ht="11.25" customHeight="1">
      <c r="A247" s="29"/>
      <c r="B247" s="37"/>
      <c r="C247" s="29"/>
      <c r="D247" s="29"/>
      <c r="E247" s="37"/>
      <c r="F247" s="37"/>
      <c r="G247" s="37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 ht="11.25" customHeight="1">
      <c r="A248" s="29"/>
      <c r="B248" s="37"/>
      <c r="C248" s="29"/>
      <c r="D248" s="29"/>
      <c r="E248" s="37"/>
      <c r="F248" s="37"/>
      <c r="G248" s="37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 ht="11.25" customHeight="1">
      <c r="A249" s="29"/>
      <c r="B249" s="37"/>
      <c r="C249" s="29"/>
      <c r="D249" s="29"/>
      <c r="E249" s="37"/>
      <c r="F249" s="37"/>
      <c r="G249" s="37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 ht="11.25" customHeight="1">
      <c r="A250" s="29"/>
      <c r="B250" s="37"/>
      <c r="C250" s="29"/>
      <c r="D250" s="29"/>
      <c r="E250" s="37"/>
      <c r="F250" s="37"/>
      <c r="G250" s="37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 ht="11.25" customHeight="1">
      <c r="A251" s="29"/>
      <c r="B251" s="37"/>
      <c r="C251" s="29"/>
      <c r="D251" s="29"/>
      <c r="E251" s="37"/>
      <c r="F251" s="37"/>
      <c r="G251" s="37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 ht="11.25" customHeight="1">
      <c r="A252" s="29"/>
      <c r="B252" s="37"/>
      <c r="C252" s="29"/>
      <c r="D252" s="29"/>
      <c r="E252" s="37"/>
      <c r="F252" s="37"/>
      <c r="G252" s="37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 ht="11.25" customHeight="1">
      <c r="A253" s="29"/>
      <c r="B253" s="37"/>
      <c r="C253" s="29"/>
      <c r="D253" s="29"/>
      <c r="E253" s="37"/>
      <c r="F253" s="37"/>
      <c r="G253" s="37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 ht="11.25" customHeight="1">
      <c r="A254" s="29"/>
      <c r="B254" s="37"/>
      <c r="C254" s="29"/>
      <c r="D254" s="29"/>
      <c r="E254" s="37"/>
      <c r="F254" s="37"/>
      <c r="G254" s="37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 ht="11.25" customHeight="1">
      <c r="A255" s="29"/>
      <c r="B255" s="37"/>
      <c r="C255" s="29"/>
      <c r="D255" s="29"/>
      <c r="E255" s="37"/>
      <c r="F255" s="37"/>
      <c r="G255" s="37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 ht="11.25" customHeight="1">
      <c r="A256" s="29"/>
      <c r="B256" s="37"/>
      <c r="C256" s="29"/>
      <c r="D256" s="29"/>
      <c r="E256" s="37"/>
      <c r="F256" s="37"/>
      <c r="G256" s="37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 ht="11.25" customHeight="1">
      <c r="A257" s="29"/>
      <c r="B257" s="37"/>
      <c r="C257" s="29"/>
      <c r="D257" s="29"/>
      <c r="E257" s="37"/>
      <c r="F257" s="37"/>
      <c r="G257" s="37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 ht="11.25" customHeight="1">
      <c r="A258" s="29"/>
      <c r="B258" s="37"/>
      <c r="C258" s="29"/>
      <c r="D258" s="29"/>
      <c r="E258" s="37"/>
      <c r="F258" s="37"/>
      <c r="G258" s="37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 ht="11.25" customHeight="1">
      <c r="A259" s="29"/>
      <c r="B259" s="37"/>
      <c r="C259" s="29"/>
      <c r="D259" s="29"/>
      <c r="E259" s="37"/>
      <c r="F259" s="37"/>
      <c r="G259" s="37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 ht="11.25" customHeight="1">
      <c r="A260" s="29"/>
      <c r="B260" s="37"/>
      <c r="C260" s="29"/>
      <c r="D260" s="29"/>
      <c r="E260" s="37"/>
      <c r="F260" s="37"/>
      <c r="G260" s="37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 ht="11.25" customHeight="1">
      <c r="A261" s="29"/>
      <c r="B261" s="37"/>
      <c r="C261" s="29"/>
      <c r="D261" s="29"/>
      <c r="E261" s="37"/>
      <c r="F261" s="37"/>
      <c r="G261" s="37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 ht="11.25" customHeight="1">
      <c r="A262" s="29"/>
      <c r="B262" s="37"/>
      <c r="C262" s="29"/>
      <c r="D262" s="29"/>
      <c r="E262" s="37"/>
      <c r="F262" s="37"/>
      <c r="G262" s="37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 ht="11.25" customHeight="1">
      <c r="A263" s="29"/>
      <c r="B263" s="37"/>
      <c r="C263" s="29"/>
      <c r="D263" s="29"/>
      <c r="E263" s="37"/>
      <c r="F263" s="37"/>
      <c r="G263" s="37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 ht="11.25" customHeight="1">
      <c r="A264" s="29"/>
      <c r="B264" s="37"/>
      <c r="C264" s="29"/>
      <c r="D264" s="29"/>
      <c r="E264" s="37"/>
      <c r="F264" s="37"/>
      <c r="G264" s="37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 ht="11.25" customHeight="1">
      <c r="A265" s="29"/>
      <c r="B265" s="37"/>
      <c r="C265" s="29"/>
      <c r="D265" s="29"/>
      <c r="E265" s="37"/>
      <c r="F265" s="37"/>
      <c r="G265" s="37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 ht="11.25" customHeight="1">
      <c r="A266" s="29"/>
      <c r="B266" s="37"/>
      <c r="C266" s="29"/>
      <c r="D266" s="29"/>
      <c r="E266" s="37"/>
      <c r="F266" s="37"/>
      <c r="G266" s="37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 ht="11.25" customHeight="1">
      <c r="A267" s="29"/>
      <c r="B267" s="37"/>
      <c r="C267" s="29"/>
      <c r="D267" s="29"/>
      <c r="E267" s="37"/>
      <c r="F267" s="37"/>
      <c r="G267" s="37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 ht="11.25" customHeight="1">
      <c r="A268" s="29"/>
      <c r="B268" s="37"/>
      <c r="C268" s="29"/>
      <c r="D268" s="29"/>
      <c r="E268" s="37"/>
      <c r="F268" s="37"/>
      <c r="G268" s="37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 ht="11.25" customHeight="1">
      <c r="A269" s="29"/>
      <c r="B269" s="37"/>
      <c r="C269" s="29"/>
      <c r="D269" s="29"/>
      <c r="E269" s="37"/>
      <c r="F269" s="37"/>
      <c r="G269" s="37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 ht="11.25" customHeight="1">
      <c r="A270" s="29"/>
      <c r="B270" s="37"/>
      <c r="C270" s="29"/>
      <c r="D270" s="29"/>
      <c r="E270" s="37"/>
      <c r="F270" s="37"/>
      <c r="G270" s="37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 ht="11.25" customHeight="1">
      <c r="A271" s="29"/>
      <c r="B271" s="37"/>
      <c r="C271" s="29"/>
      <c r="D271" s="29"/>
      <c r="E271" s="37"/>
      <c r="F271" s="37"/>
      <c r="G271" s="37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 ht="11.25" customHeight="1">
      <c r="A272" s="29"/>
      <c r="B272" s="37"/>
      <c r="C272" s="29"/>
      <c r="D272" s="29"/>
      <c r="E272" s="37"/>
      <c r="F272" s="37"/>
      <c r="G272" s="37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 ht="11.25" customHeight="1">
      <c r="A273" s="29"/>
      <c r="B273" s="37"/>
      <c r="C273" s="29"/>
      <c r="D273" s="29"/>
      <c r="E273" s="37"/>
      <c r="F273" s="37"/>
      <c r="G273" s="37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 ht="11.25" customHeight="1">
      <c r="A274" s="29"/>
      <c r="B274" s="37"/>
      <c r="C274" s="29"/>
      <c r="D274" s="29"/>
      <c r="E274" s="37"/>
      <c r="F274" s="37"/>
      <c r="G274" s="37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 ht="11.25" customHeight="1">
      <c r="A275" s="29"/>
      <c r="B275" s="37"/>
      <c r="C275" s="29"/>
      <c r="D275" s="29"/>
      <c r="E275" s="37"/>
      <c r="F275" s="37"/>
      <c r="G275" s="37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 ht="11.25" customHeight="1">
      <c r="A276" s="29"/>
      <c r="B276" s="37"/>
      <c r="C276" s="29"/>
      <c r="D276" s="29"/>
      <c r="E276" s="37"/>
      <c r="F276" s="37"/>
      <c r="G276" s="37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 ht="11.25" customHeight="1">
      <c r="A277" s="29"/>
      <c r="B277" s="37"/>
      <c r="C277" s="29"/>
      <c r="D277" s="29"/>
      <c r="E277" s="37"/>
      <c r="F277" s="37"/>
      <c r="G277" s="37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 ht="11.25" customHeight="1">
      <c r="A278" s="29"/>
      <c r="B278" s="37"/>
      <c r="C278" s="29"/>
      <c r="D278" s="29"/>
      <c r="E278" s="37"/>
      <c r="F278" s="37"/>
      <c r="G278" s="37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 ht="11.25" customHeight="1">
      <c r="A279" s="29"/>
      <c r="B279" s="37"/>
      <c r="C279" s="29"/>
      <c r="D279" s="29"/>
      <c r="E279" s="37"/>
      <c r="F279" s="37"/>
      <c r="G279" s="37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 ht="11.25" customHeight="1">
      <c r="A280" s="29"/>
      <c r="B280" s="37"/>
      <c r="C280" s="29"/>
      <c r="D280" s="29"/>
      <c r="E280" s="37"/>
      <c r="F280" s="37"/>
      <c r="G280" s="37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 ht="11.25" customHeight="1">
      <c r="A281" s="29"/>
      <c r="B281" s="37"/>
      <c r="C281" s="29"/>
      <c r="D281" s="29"/>
      <c r="E281" s="37"/>
      <c r="F281" s="37"/>
      <c r="G281" s="37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 ht="11.25" customHeight="1">
      <c r="A282" s="29"/>
      <c r="B282" s="37"/>
      <c r="C282" s="29"/>
      <c r="D282" s="29"/>
      <c r="E282" s="37"/>
      <c r="F282" s="37"/>
      <c r="G282" s="37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 ht="11.25" customHeight="1">
      <c r="A283" s="29"/>
      <c r="B283" s="37"/>
      <c r="C283" s="29"/>
      <c r="D283" s="29"/>
      <c r="E283" s="37"/>
      <c r="F283" s="37"/>
      <c r="G283" s="37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 ht="11.25" customHeight="1">
      <c r="A284" s="29"/>
      <c r="B284" s="37"/>
      <c r="C284" s="29"/>
      <c r="D284" s="29"/>
      <c r="E284" s="37"/>
      <c r="F284" s="37"/>
      <c r="G284" s="37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 ht="11.25" customHeight="1">
      <c r="A285" s="29"/>
      <c r="B285" s="37"/>
      <c r="C285" s="29"/>
      <c r="D285" s="29"/>
      <c r="E285" s="37"/>
      <c r="F285" s="37"/>
      <c r="G285" s="37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 ht="11.25" customHeight="1">
      <c r="A286" s="29"/>
      <c r="B286" s="37"/>
      <c r="C286" s="29"/>
      <c r="D286" s="29"/>
      <c r="E286" s="37"/>
      <c r="F286" s="37"/>
      <c r="G286" s="37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 ht="11.25" customHeight="1">
      <c r="A287" s="29"/>
      <c r="B287" s="37"/>
      <c r="C287" s="29"/>
      <c r="D287" s="29"/>
      <c r="E287" s="37"/>
      <c r="F287" s="37"/>
      <c r="G287" s="37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 ht="11.25" customHeight="1">
      <c r="A288" s="29"/>
      <c r="B288" s="37"/>
      <c r="C288" s="29"/>
      <c r="D288" s="29"/>
      <c r="E288" s="37"/>
      <c r="F288" s="37"/>
      <c r="G288" s="37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 ht="11.25" customHeight="1">
      <c r="A289" s="29"/>
      <c r="B289" s="37"/>
      <c r="C289" s="29"/>
      <c r="D289" s="29"/>
      <c r="E289" s="37"/>
      <c r="F289" s="37"/>
      <c r="G289" s="37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 ht="11.25" customHeight="1">
      <c r="A290" s="29"/>
      <c r="B290" s="37"/>
      <c r="C290" s="29"/>
      <c r="D290" s="29"/>
      <c r="E290" s="37"/>
      <c r="F290" s="37"/>
      <c r="G290" s="37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 ht="11.25" customHeight="1">
      <c r="A291" s="29"/>
      <c r="B291" s="37"/>
      <c r="C291" s="29"/>
      <c r="D291" s="29"/>
      <c r="E291" s="37"/>
      <c r="F291" s="37"/>
      <c r="G291" s="37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 ht="11.25" customHeight="1">
      <c r="A292" s="29"/>
      <c r="B292" s="37"/>
      <c r="C292" s="29"/>
      <c r="D292" s="29"/>
      <c r="E292" s="37"/>
      <c r="F292" s="37"/>
      <c r="G292" s="37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 ht="11.25" customHeight="1">
      <c r="A293" s="29"/>
      <c r="B293" s="37"/>
      <c r="C293" s="29"/>
      <c r="D293" s="29"/>
      <c r="E293" s="37"/>
      <c r="F293" s="37"/>
      <c r="G293" s="37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 ht="11.25" customHeight="1">
      <c r="A294" s="29"/>
      <c r="B294" s="37"/>
      <c r="C294" s="29"/>
      <c r="D294" s="29"/>
      <c r="E294" s="37"/>
      <c r="F294" s="37"/>
      <c r="G294" s="37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 ht="11.25" customHeight="1">
      <c r="A295" s="29"/>
      <c r="B295" s="37"/>
      <c r="C295" s="29"/>
      <c r="D295" s="29"/>
      <c r="E295" s="37"/>
      <c r="F295" s="37"/>
      <c r="G295" s="37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 ht="11.25" customHeight="1">
      <c r="A296" s="29"/>
      <c r="B296" s="37"/>
      <c r="C296" s="29"/>
      <c r="D296" s="29"/>
      <c r="E296" s="37"/>
      <c r="F296" s="37"/>
      <c r="G296" s="37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 ht="11.25" customHeight="1">
      <c r="A297" s="29"/>
      <c r="B297" s="37"/>
      <c r="C297" s="29"/>
      <c r="D297" s="29"/>
      <c r="E297" s="37"/>
      <c r="F297" s="37"/>
      <c r="G297" s="37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 ht="11.25" customHeight="1">
      <c r="A298" s="29"/>
      <c r="B298" s="37"/>
      <c r="C298" s="29"/>
      <c r="D298" s="29"/>
      <c r="E298" s="37"/>
      <c r="F298" s="37"/>
      <c r="G298" s="37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 ht="11.25" customHeight="1">
      <c r="A299" s="29"/>
      <c r="B299" s="37"/>
      <c r="C299" s="29"/>
      <c r="D299" s="29"/>
      <c r="E299" s="37"/>
      <c r="F299" s="37"/>
      <c r="G299" s="37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 ht="11.25" customHeight="1">
      <c r="A300" s="29"/>
      <c r="B300" s="37"/>
      <c r="C300" s="29"/>
      <c r="D300" s="29"/>
      <c r="E300" s="37"/>
      <c r="F300" s="37"/>
      <c r="G300" s="37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 ht="11.25" customHeight="1">
      <c r="A301" s="29"/>
      <c r="B301" s="37"/>
      <c r="C301" s="29"/>
      <c r="D301" s="29"/>
      <c r="E301" s="37"/>
      <c r="F301" s="37"/>
      <c r="G301" s="37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 ht="11.25" customHeight="1">
      <c r="A302" s="29"/>
      <c r="B302" s="37"/>
      <c r="C302" s="29"/>
      <c r="D302" s="29"/>
      <c r="E302" s="37"/>
      <c r="F302" s="37"/>
      <c r="G302" s="37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 ht="11.25" customHeight="1">
      <c r="A303" s="29"/>
      <c r="B303" s="37"/>
      <c r="C303" s="29"/>
      <c r="D303" s="29"/>
      <c r="E303" s="37"/>
      <c r="F303" s="37"/>
      <c r="G303" s="37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 ht="11.25" customHeight="1">
      <c r="A304" s="29"/>
      <c r="B304" s="37"/>
      <c r="C304" s="29"/>
      <c r="D304" s="29"/>
      <c r="E304" s="37"/>
      <c r="F304" s="37"/>
      <c r="G304" s="37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 ht="11.25" customHeight="1">
      <c r="A305" s="29"/>
      <c r="B305" s="37"/>
      <c r="C305" s="29"/>
      <c r="D305" s="29"/>
      <c r="E305" s="37"/>
      <c r="F305" s="37"/>
      <c r="G305" s="37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 ht="11.25" customHeight="1">
      <c r="A306" s="29"/>
      <c r="B306" s="37"/>
      <c r="C306" s="29"/>
      <c r="D306" s="29"/>
      <c r="E306" s="37"/>
      <c r="F306" s="37"/>
      <c r="G306" s="37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 ht="11.25" customHeight="1">
      <c r="A307" s="29"/>
      <c r="B307" s="37"/>
      <c r="C307" s="29"/>
      <c r="D307" s="29"/>
      <c r="E307" s="37"/>
      <c r="F307" s="37"/>
      <c r="G307" s="37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 ht="11.25" customHeight="1">
      <c r="A308" s="29"/>
      <c r="B308" s="37"/>
      <c r="C308" s="29"/>
      <c r="D308" s="29"/>
      <c r="E308" s="37"/>
      <c r="F308" s="37"/>
      <c r="G308" s="37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 ht="11.25" customHeight="1">
      <c r="A309" s="29"/>
      <c r="B309" s="37"/>
      <c r="C309" s="29"/>
      <c r="D309" s="29"/>
      <c r="E309" s="37"/>
      <c r="F309" s="37"/>
      <c r="G309" s="37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 ht="11.25" customHeight="1">
      <c r="A310" s="29"/>
      <c r="B310" s="37"/>
      <c r="C310" s="29"/>
      <c r="D310" s="29"/>
      <c r="E310" s="37"/>
      <c r="F310" s="37"/>
      <c r="G310" s="37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 ht="11.25" customHeight="1">
      <c r="A311" s="29"/>
      <c r="B311" s="37"/>
      <c r="C311" s="29"/>
      <c r="D311" s="29"/>
      <c r="E311" s="37"/>
      <c r="F311" s="37"/>
      <c r="G311" s="37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 ht="11.25" customHeight="1">
      <c r="A312" s="29"/>
      <c r="B312" s="37"/>
      <c r="C312" s="29"/>
      <c r="D312" s="29"/>
      <c r="E312" s="37"/>
      <c r="F312" s="37"/>
      <c r="G312" s="37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 ht="11.25" customHeight="1">
      <c r="A313" s="29"/>
      <c r="B313" s="37"/>
      <c r="C313" s="29"/>
      <c r="D313" s="29"/>
      <c r="E313" s="37"/>
      <c r="F313" s="37"/>
      <c r="G313" s="37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 ht="11.25" customHeight="1">
      <c r="A314" s="29"/>
      <c r="B314" s="37"/>
      <c r="C314" s="29"/>
      <c r="D314" s="29"/>
      <c r="E314" s="37"/>
      <c r="F314" s="37"/>
      <c r="G314" s="37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 ht="11.25" customHeight="1">
      <c r="A315" s="29"/>
      <c r="B315" s="37"/>
      <c r="C315" s="29"/>
      <c r="D315" s="29"/>
      <c r="E315" s="37"/>
      <c r="F315" s="37"/>
      <c r="G315" s="37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 ht="11.25" customHeight="1">
      <c r="A316" s="29"/>
      <c r="B316" s="37"/>
      <c r="C316" s="29"/>
      <c r="D316" s="29"/>
      <c r="E316" s="37"/>
      <c r="F316" s="37"/>
      <c r="G316" s="37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 ht="11.25" customHeight="1">
      <c r="A317" s="29"/>
      <c r="B317" s="37"/>
      <c r="C317" s="29"/>
      <c r="D317" s="29"/>
      <c r="E317" s="37"/>
      <c r="F317" s="37"/>
      <c r="G317" s="37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 ht="11.25" customHeight="1">
      <c r="A318" s="29"/>
      <c r="B318" s="37"/>
      <c r="C318" s="29"/>
      <c r="D318" s="29"/>
      <c r="E318" s="37"/>
      <c r="F318" s="37"/>
      <c r="G318" s="37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 ht="11.25" customHeight="1">
      <c r="A319" s="29"/>
      <c r="B319" s="37"/>
      <c r="C319" s="29"/>
      <c r="D319" s="29"/>
      <c r="E319" s="37"/>
      <c r="F319" s="37"/>
      <c r="G319" s="37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 ht="11.25" customHeight="1">
      <c r="A320" s="29"/>
      <c r="B320" s="37"/>
      <c r="C320" s="29"/>
      <c r="D320" s="29"/>
      <c r="E320" s="37"/>
      <c r="F320" s="37"/>
      <c r="G320" s="37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 ht="11.25" customHeight="1">
      <c r="A321" s="29"/>
      <c r="B321" s="37"/>
      <c r="C321" s="29"/>
      <c r="D321" s="29"/>
      <c r="E321" s="37"/>
      <c r="F321" s="37"/>
      <c r="G321" s="37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 ht="11.25" customHeight="1">
      <c r="A322" s="29"/>
      <c r="B322" s="37"/>
      <c r="C322" s="29"/>
      <c r="D322" s="29"/>
      <c r="E322" s="37"/>
      <c r="F322" s="37"/>
      <c r="G322" s="37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 ht="11.25" customHeight="1">
      <c r="A323" s="29"/>
      <c r="B323" s="37"/>
      <c r="C323" s="29"/>
      <c r="D323" s="29"/>
      <c r="E323" s="37"/>
      <c r="F323" s="37"/>
      <c r="G323" s="37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 ht="11.25" customHeight="1">
      <c r="A324" s="29"/>
      <c r="B324" s="37"/>
      <c r="C324" s="29"/>
      <c r="D324" s="29"/>
      <c r="E324" s="37"/>
      <c r="F324" s="37"/>
      <c r="G324" s="37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 ht="11.25" customHeight="1">
      <c r="A325" s="29"/>
      <c r="B325" s="37"/>
      <c r="C325" s="29"/>
      <c r="D325" s="29"/>
      <c r="E325" s="37"/>
      <c r="F325" s="37"/>
      <c r="G325" s="37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 ht="11.25" customHeight="1">
      <c r="A326" s="29"/>
      <c r="B326" s="37"/>
      <c r="C326" s="29"/>
      <c r="D326" s="29"/>
      <c r="E326" s="37"/>
      <c r="F326" s="37"/>
      <c r="G326" s="37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 ht="11.25" customHeight="1">
      <c r="A327" s="29"/>
      <c r="B327" s="37"/>
      <c r="C327" s="29"/>
      <c r="D327" s="29"/>
      <c r="E327" s="37"/>
      <c r="F327" s="37"/>
      <c r="G327" s="37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 ht="11.25" customHeight="1">
      <c r="A328" s="29"/>
      <c r="B328" s="37"/>
      <c r="C328" s="29"/>
      <c r="D328" s="29"/>
      <c r="E328" s="37"/>
      <c r="F328" s="37"/>
      <c r="G328" s="37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 ht="11.25" customHeight="1">
      <c r="A329" s="29"/>
      <c r="B329" s="37"/>
      <c r="C329" s="29"/>
      <c r="D329" s="29"/>
      <c r="E329" s="37"/>
      <c r="F329" s="37"/>
      <c r="G329" s="37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 ht="11.25" customHeight="1">
      <c r="A330" s="29"/>
      <c r="B330" s="37"/>
      <c r="C330" s="29"/>
      <c r="D330" s="29"/>
      <c r="E330" s="37"/>
      <c r="F330" s="37"/>
      <c r="G330" s="37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 ht="11.25" customHeight="1">
      <c r="A331" s="29"/>
      <c r="B331" s="37"/>
      <c r="C331" s="29"/>
      <c r="D331" s="29"/>
      <c r="E331" s="37"/>
      <c r="F331" s="37"/>
      <c r="G331" s="37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 ht="11.25" customHeight="1">
      <c r="A332" s="29"/>
      <c r="B332" s="37"/>
      <c r="C332" s="29"/>
      <c r="D332" s="29"/>
      <c r="E332" s="37"/>
      <c r="F332" s="37"/>
      <c r="G332" s="37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 ht="11.25" customHeight="1">
      <c r="A333" s="29"/>
      <c r="B333" s="37"/>
      <c r="C333" s="29"/>
      <c r="D333" s="29"/>
      <c r="E333" s="37"/>
      <c r="F333" s="37"/>
      <c r="G333" s="37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 ht="11.25" customHeight="1">
      <c r="A334" s="29"/>
      <c r="B334" s="37"/>
      <c r="C334" s="29"/>
      <c r="D334" s="29"/>
      <c r="E334" s="37"/>
      <c r="F334" s="37"/>
      <c r="G334" s="37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 ht="11.25" customHeight="1">
      <c r="A335" s="29"/>
      <c r="B335" s="37"/>
      <c r="C335" s="29"/>
      <c r="D335" s="29"/>
      <c r="E335" s="37"/>
      <c r="F335" s="37"/>
      <c r="G335" s="37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 ht="11.25" customHeight="1">
      <c r="A336" s="29"/>
      <c r="B336" s="37"/>
      <c r="C336" s="29"/>
      <c r="D336" s="29"/>
      <c r="E336" s="37"/>
      <c r="F336" s="37"/>
      <c r="G336" s="37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 ht="11.25" customHeight="1">
      <c r="A337" s="29"/>
      <c r="B337" s="37"/>
      <c r="C337" s="29"/>
      <c r="D337" s="29"/>
      <c r="E337" s="37"/>
      <c r="F337" s="37"/>
      <c r="G337" s="37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 ht="11.25" customHeight="1">
      <c r="A338" s="29"/>
      <c r="B338" s="37"/>
      <c r="C338" s="29"/>
      <c r="D338" s="29"/>
      <c r="E338" s="37"/>
      <c r="F338" s="37"/>
      <c r="G338" s="37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 ht="11.25" customHeight="1">
      <c r="A339" s="29"/>
      <c r="B339" s="37"/>
      <c r="C339" s="29"/>
      <c r="D339" s="29"/>
      <c r="E339" s="37"/>
      <c r="F339" s="37"/>
      <c r="G339" s="37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 ht="11.25" customHeight="1">
      <c r="A340" s="29"/>
      <c r="B340" s="37"/>
      <c r="C340" s="29"/>
      <c r="D340" s="29"/>
      <c r="E340" s="37"/>
      <c r="F340" s="37"/>
      <c r="G340" s="37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 ht="11.25" customHeight="1">
      <c r="A341" s="29"/>
      <c r="B341" s="37"/>
      <c r="C341" s="29"/>
      <c r="D341" s="29"/>
      <c r="E341" s="37"/>
      <c r="F341" s="37"/>
      <c r="G341" s="37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 ht="11.25" customHeight="1">
      <c r="A342" s="29"/>
      <c r="B342" s="37"/>
      <c r="C342" s="29"/>
      <c r="D342" s="29"/>
      <c r="E342" s="37"/>
      <c r="F342" s="37"/>
      <c r="G342" s="37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 ht="11.25" customHeight="1">
      <c r="A343" s="29"/>
      <c r="B343" s="37"/>
      <c r="C343" s="29"/>
      <c r="D343" s="29"/>
      <c r="E343" s="37"/>
      <c r="F343" s="37"/>
      <c r="G343" s="37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 ht="11.25" customHeight="1">
      <c r="A344" s="29"/>
      <c r="B344" s="37"/>
      <c r="C344" s="29"/>
      <c r="D344" s="29"/>
      <c r="E344" s="37"/>
      <c r="F344" s="37"/>
      <c r="G344" s="37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 ht="11.25" customHeight="1">
      <c r="A345" s="29"/>
      <c r="B345" s="37"/>
      <c r="C345" s="29"/>
      <c r="D345" s="29"/>
      <c r="E345" s="37"/>
      <c r="F345" s="37"/>
      <c r="G345" s="37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 ht="11.25" customHeight="1">
      <c r="A346" s="29"/>
      <c r="B346" s="37"/>
      <c r="C346" s="29"/>
      <c r="D346" s="29"/>
      <c r="E346" s="37"/>
      <c r="F346" s="37"/>
      <c r="G346" s="37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 ht="11.25" customHeight="1">
      <c r="A347" s="29"/>
      <c r="B347" s="37"/>
      <c r="C347" s="29"/>
      <c r="D347" s="29"/>
      <c r="E347" s="37"/>
      <c r="F347" s="37"/>
      <c r="G347" s="37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 ht="11.25" customHeight="1">
      <c r="A348" s="29"/>
      <c r="B348" s="37"/>
      <c r="C348" s="29"/>
      <c r="D348" s="29"/>
      <c r="E348" s="37"/>
      <c r="F348" s="37"/>
      <c r="G348" s="37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 ht="11.25" customHeight="1">
      <c r="A349" s="29"/>
      <c r="B349" s="37"/>
      <c r="C349" s="29"/>
      <c r="D349" s="29"/>
      <c r="E349" s="37"/>
      <c r="F349" s="37"/>
      <c r="G349" s="37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 ht="11.25" customHeight="1">
      <c r="A350" s="29"/>
      <c r="B350" s="37"/>
      <c r="C350" s="29"/>
      <c r="D350" s="29"/>
      <c r="E350" s="37"/>
      <c r="F350" s="37"/>
      <c r="G350" s="37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 ht="11.25" customHeight="1">
      <c r="A351" s="29"/>
      <c r="B351" s="37"/>
      <c r="C351" s="29"/>
      <c r="D351" s="29"/>
      <c r="E351" s="37"/>
      <c r="F351" s="37"/>
      <c r="G351" s="37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 ht="11.25" customHeight="1">
      <c r="A352" s="29"/>
      <c r="B352" s="37"/>
      <c r="C352" s="29"/>
      <c r="D352" s="29"/>
      <c r="E352" s="37"/>
      <c r="F352" s="37"/>
      <c r="G352" s="37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 ht="11.25" customHeight="1">
      <c r="A353" s="29"/>
      <c r="B353" s="37"/>
      <c r="C353" s="29"/>
      <c r="D353" s="29"/>
      <c r="E353" s="37"/>
      <c r="F353" s="37"/>
      <c r="G353" s="37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 ht="11.25" customHeight="1">
      <c r="A354" s="29"/>
      <c r="B354" s="37"/>
      <c r="C354" s="29"/>
      <c r="D354" s="29"/>
      <c r="E354" s="37"/>
      <c r="F354" s="37"/>
      <c r="G354" s="37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 ht="11.25" customHeight="1">
      <c r="A355" s="29"/>
      <c r="B355" s="37"/>
      <c r="C355" s="29"/>
      <c r="D355" s="29"/>
      <c r="E355" s="37"/>
      <c r="F355" s="37"/>
      <c r="G355" s="37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 ht="11.25" customHeight="1">
      <c r="A356" s="29"/>
      <c r="B356" s="37"/>
      <c r="C356" s="29"/>
      <c r="D356" s="29"/>
      <c r="E356" s="37"/>
      <c r="F356" s="37"/>
      <c r="G356" s="37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 ht="11.25" customHeight="1">
      <c r="A357" s="29"/>
      <c r="B357" s="37"/>
      <c r="C357" s="29"/>
      <c r="D357" s="29"/>
      <c r="E357" s="37"/>
      <c r="F357" s="37"/>
      <c r="G357" s="37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 ht="11.25" customHeight="1">
      <c r="A358" s="29"/>
      <c r="B358" s="37"/>
      <c r="C358" s="29"/>
      <c r="D358" s="29"/>
      <c r="E358" s="37"/>
      <c r="F358" s="37"/>
      <c r="G358" s="37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 ht="11.25" customHeight="1">
      <c r="A359" s="29"/>
      <c r="B359" s="37"/>
      <c r="C359" s="29"/>
      <c r="D359" s="29"/>
      <c r="E359" s="37"/>
      <c r="F359" s="37"/>
      <c r="G359" s="37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 ht="11.25" customHeight="1">
      <c r="A360" s="29"/>
      <c r="B360" s="37"/>
      <c r="C360" s="29"/>
      <c r="D360" s="29"/>
      <c r="E360" s="37"/>
      <c r="F360" s="37"/>
      <c r="G360" s="37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 ht="11.25" customHeight="1">
      <c r="A361" s="29"/>
      <c r="B361" s="37"/>
      <c r="C361" s="29"/>
      <c r="D361" s="29"/>
      <c r="E361" s="37"/>
      <c r="F361" s="37"/>
      <c r="G361" s="37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 ht="11.25" customHeight="1">
      <c r="A362" s="29"/>
      <c r="B362" s="37"/>
      <c r="C362" s="29"/>
      <c r="D362" s="29"/>
      <c r="E362" s="37"/>
      <c r="F362" s="37"/>
      <c r="G362" s="37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 ht="11.25" customHeight="1">
      <c r="A363" s="29"/>
      <c r="B363" s="37"/>
      <c r="C363" s="29"/>
      <c r="D363" s="29"/>
      <c r="E363" s="37"/>
      <c r="F363" s="37"/>
      <c r="G363" s="37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 ht="11.25" customHeight="1">
      <c r="A364" s="29"/>
      <c r="B364" s="37"/>
      <c r="C364" s="29"/>
      <c r="D364" s="29"/>
      <c r="E364" s="37"/>
      <c r="F364" s="37"/>
      <c r="G364" s="37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 ht="11.25" customHeight="1">
      <c r="A365" s="29"/>
      <c r="B365" s="37"/>
      <c r="C365" s="29"/>
      <c r="D365" s="29"/>
      <c r="E365" s="37"/>
      <c r="F365" s="37"/>
      <c r="G365" s="37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 ht="11.25" customHeight="1">
      <c r="A366" s="29"/>
      <c r="B366" s="37"/>
      <c r="C366" s="29"/>
      <c r="D366" s="29"/>
      <c r="E366" s="37"/>
      <c r="F366" s="37"/>
      <c r="G366" s="37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 ht="11.25" customHeight="1">
      <c r="A367" s="29"/>
      <c r="B367" s="37"/>
      <c r="C367" s="29"/>
      <c r="D367" s="29"/>
      <c r="E367" s="37"/>
      <c r="F367" s="37"/>
      <c r="G367" s="37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 ht="11.25" customHeight="1">
      <c r="A368" s="29"/>
      <c r="B368" s="37"/>
      <c r="C368" s="29"/>
      <c r="D368" s="29"/>
      <c r="E368" s="37"/>
      <c r="F368" s="37"/>
      <c r="G368" s="37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 ht="11.25" customHeight="1">
      <c r="A369" s="29"/>
      <c r="B369" s="37"/>
      <c r="C369" s="29"/>
      <c r="D369" s="29"/>
      <c r="E369" s="37"/>
      <c r="F369" s="37"/>
      <c r="G369" s="37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 ht="11.25" customHeight="1">
      <c r="A370" s="29"/>
      <c r="B370" s="37"/>
      <c r="C370" s="29"/>
      <c r="D370" s="29"/>
      <c r="E370" s="37"/>
      <c r="F370" s="37"/>
      <c r="G370" s="37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 ht="11.25" customHeight="1">
      <c r="A371" s="29"/>
      <c r="B371" s="37"/>
      <c r="C371" s="29"/>
      <c r="D371" s="29"/>
      <c r="E371" s="37"/>
      <c r="F371" s="37"/>
      <c r="G371" s="37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 ht="11.25" customHeight="1">
      <c r="A372" s="29"/>
      <c r="B372" s="37"/>
      <c r="C372" s="29"/>
      <c r="D372" s="29"/>
      <c r="E372" s="37"/>
      <c r="F372" s="37"/>
      <c r="G372" s="37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 ht="11.25" customHeight="1">
      <c r="A373" s="29"/>
      <c r="B373" s="37"/>
      <c r="C373" s="29"/>
      <c r="D373" s="29"/>
      <c r="E373" s="37"/>
      <c r="F373" s="37"/>
      <c r="G373" s="37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 ht="11.25" customHeight="1">
      <c r="A374" s="29"/>
      <c r="B374" s="37"/>
      <c r="C374" s="29"/>
      <c r="D374" s="29"/>
      <c r="E374" s="37"/>
      <c r="F374" s="37"/>
      <c r="G374" s="37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 ht="11.25" customHeight="1">
      <c r="A375" s="29"/>
      <c r="B375" s="37"/>
      <c r="C375" s="29"/>
      <c r="D375" s="29"/>
      <c r="E375" s="37"/>
      <c r="F375" s="37"/>
      <c r="G375" s="37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 ht="11.25" customHeight="1">
      <c r="A376" s="29"/>
      <c r="B376" s="37"/>
      <c r="C376" s="29"/>
      <c r="D376" s="29"/>
      <c r="E376" s="37"/>
      <c r="F376" s="37"/>
      <c r="G376" s="37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 ht="11.25" customHeight="1">
      <c r="A377" s="29"/>
      <c r="B377" s="37"/>
      <c r="C377" s="29"/>
      <c r="D377" s="29"/>
      <c r="E377" s="37"/>
      <c r="F377" s="37"/>
      <c r="G377" s="37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 ht="11.25" customHeight="1">
      <c r="A378" s="29"/>
      <c r="B378" s="37"/>
      <c r="C378" s="29"/>
      <c r="D378" s="29"/>
      <c r="E378" s="37"/>
      <c r="F378" s="37"/>
      <c r="G378" s="37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 ht="11.25" customHeight="1">
      <c r="A379" s="29"/>
      <c r="B379" s="37"/>
      <c r="C379" s="29"/>
      <c r="D379" s="29"/>
      <c r="E379" s="37"/>
      <c r="F379" s="37"/>
      <c r="G379" s="37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 ht="11.25" customHeight="1">
      <c r="A380" s="29"/>
      <c r="B380" s="37"/>
      <c r="C380" s="29"/>
      <c r="D380" s="29"/>
      <c r="E380" s="37"/>
      <c r="F380" s="37"/>
      <c r="G380" s="37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 ht="11.25" customHeight="1">
      <c r="A381" s="29"/>
      <c r="B381" s="37"/>
      <c r="C381" s="29"/>
      <c r="D381" s="29"/>
      <c r="E381" s="37"/>
      <c r="F381" s="37"/>
      <c r="G381" s="37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 ht="11.25" customHeight="1">
      <c r="A382" s="29"/>
      <c r="B382" s="37"/>
      <c r="C382" s="29"/>
      <c r="D382" s="29"/>
      <c r="E382" s="37"/>
      <c r="F382" s="37"/>
      <c r="G382" s="37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 ht="11.25" customHeight="1">
      <c r="A383" s="29"/>
      <c r="B383" s="37"/>
      <c r="C383" s="29"/>
      <c r="D383" s="29"/>
      <c r="E383" s="37"/>
      <c r="F383" s="37"/>
      <c r="G383" s="37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 ht="11.25" customHeight="1">
      <c r="A384" s="29"/>
      <c r="B384" s="37"/>
      <c r="C384" s="29"/>
      <c r="D384" s="29"/>
      <c r="E384" s="37"/>
      <c r="F384" s="37"/>
      <c r="G384" s="37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 ht="11.25" customHeight="1">
      <c r="A385" s="29"/>
      <c r="B385" s="37"/>
      <c r="C385" s="29"/>
      <c r="D385" s="29"/>
      <c r="E385" s="37"/>
      <c r="F385" s="37"/>
      <c r="G385" s="37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 ht="11.25" customHeight="1">
      <c r="A386" s="29"/>
      <c r="B386" s="37"/>
      <c r="C386" s="29"/>
      <c r="D386" s="29"/>
      <c r="E386" s="37"/>
      <c r="F386" s="37"/>
      <c r="G386" s="37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 ht="11.25" customHeight="1">
      <c r="A387" s="29"/>
      <c r="B387" s="37"/>
      <c r="C387" s="29"/>
      <c r="D387" s="29"/>
      <c r="E387" s="37"/>
      <c r="F387" s="37"/>
      <c r="G387" s="37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 ht="11.25" customHeight="1">
      <c r="A388" s="29"/>
      <c r="B388" s="37"/>
      <c r="C388" s="29"/>
      <c r="D388" s="29"/>
      <c r="E388" s="37"/>
      <c r="F388" s="37"/>
      <c r="G388" s="37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 ht="11.25" customHeight="1">
      <c r="A389" s="29"/>
      <c r="B389" s="37"/>
      <c r="C389" s="29"/>
      <c r="D389" s="29"/>
      <c r="E389" s="37"/>
      <c r="F389" s="37"/>
      <c r="G389" s="37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 ht="11.25" customHeight="1">
      <c r="A390" s="29"/>
      <c r="B390" s="37"/>
      <c r="C390" s="29"/>
      <c r="D390" s="29"/>
      <c r="E390" s="37"/>
      <c r="F390" s="37"/>
      <c r="G390" s="37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 ht="11.25" customHeight="1">
      <c r="A391" s="29"/>
      <c r="B391" s="37"/>
      <c r="C391" s="29"/>
      <c r="D391" s="29"/>
      <c r="E391" s="37"/>
      <c r="F391" s="37"/>
      <c r="G391" s="37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 ht="11.25" customHeight="1">
      <c r="A392" s="29"/>
      <c r="B392" s="37"/>
      <c r="C392" s="29"/>
      <c r="D392" s="29"/>
      <c r="E392" s="37"/>
      <c r="F392" s="37"/>
      <c r="G392" s="37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 ht="11.25" customHeight="1">
      <c r="A393" s="29"/>
      <c r="B393" s="37"/>
      <c r="C393" s="29"/>
      <c r="D393" s="29"/>
      <c r="E393" s="37"/>
      <c r="F393" s="37"/>
      <c r="G393" s="37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 ht="11.25" customHeight="1">
      <c r="A394" s="29"/>
      <c r="B394" s="37"/>
      <c r="C394" s="29"/>
      <c r="D394" s="29"/>
      <c r="E394" s="37"/>
      <c r="F394" s="37"/>
      <c r="G394" s="37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 ht="11.25" customHeight="1">
      <c r="A395" s="29"/>
      <c r="B395" s="37"/>
      <c r="C395" s="29"/>
      <c r="D395" s="29"/>
      <c r="E395" s="37"/>
      <c r="F395" s="37"/>
      <c r="G395" s="37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 ht="11.25" customHeight="1">
      <c r="A396" s="29"/>
      <c r="B396" s="37"/>
      <c r="C396" s="29"/>
      <c r="D396" s="29"/>
      <c r="E396" s="37"/>
      <c r="F396" s="37"/>
      <c r="G396" s="37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 ht="11.25" customHeight="1">
      <c r="A397" s="29"/>
      <c r="B397" s="37"/>
      <c r="C397" s="29"/>
      <c r="D397" s="29"/>
      <c r="E397" s="37"/>
      <c r="F397" s="37"/>
      <c r="G397" s="37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 ht="11.25" customHeight="1">
      <c r="A398" s="29"/>
      <c r="B398" s="37"/>
      <c r="C398" s="29"/>
      <c r="D398" s="29"/>
      <c r="E398" s="37"/>
      <c r="F398" s="37"/>
      <c r="G398" s="37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 ht="11.25" customHeight="1">
      <c r="A399" s="29"/>
      <c r="B399" s="37"/>
      <c r="C399" s="29"/>
      <c r="D399" s="29"/>
      <c r="E399" s="37"/>
      <c r="F399" s="37"/>
      <c r="G399" s="37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 ht="11.25" customHeight="1">
      <c r="A400" s="29"/>
      <c r="B400" s="37"/>
      <c r="C400" s="29"/>
      <c r="D400" s="29"/>
      <c r="E400" s="37"/>
      <c r="F400" s="37"/>
      <c r="G400" s="37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 ht="11.25" customHeight="1">
      <c r="A401" s="29"/>
      <c r="B401" s="37"/>
      <c r="C401" s="29"/>
      <c r="D401" s="29"/>
      <c r="E401" s="37"/>
      <c r="F401" s="37"/>
      <c r="G401" s="37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 ht="11.25" customHeight="1">
      <c r="A402" s="29"/>
      <c r="B402" s="37"/>
      <c r="C402" s="29"/>
      <c r="D402" s="29"/>
      <c r="E402" s="37"/>
      <c r="F402" s="37"/>
      <c r="G402" s="37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 ht="11.25" customHeight="1">
      <c r="A403" s="29"/>
      <c r="B403" s="37"/>
      <c r="C403" s="29"/>
      <c r="D403" s="29"/>
      <c r="E403" s="37"/>
      <c r="F403" s="37"/>
      <c r="G403" s="37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 ht="11.25" customHeight="1">
      <c r="A404" s="29"/>
      <c r="B404" s="37"/>
      <c r="C404" s="29"/>
      <c r="D404" s="29"/>
      <c r="E404" s="37"/>
      <c r="F404" s="37"/>
      <c r="G404" s="37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 ht="11.25" customHeight="1">
      <c r="A405" s="29"/>
      <c r="B405" s="37"/>
      <c r="C405" s="29"/>
      <c r="D405" s="29"/>
      <c r="E405" s="37"/>
      <c r="F405" s="37"/>
      <c r="G405" s="37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 ht="11.25" customHeight="1">
      <c r="A406" s="29"/>
      <c r="B406" s="37"/>
      <c r="C406" s="29"/>
      <c r="D406" s="29"/>
      <c r="E406" s="37"/>
      <c r="F406" s="37"/>
      <c r="G406" s="37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 ht="11.25" customHeight="1">
      <c r="A407" s="29"/>
      <c r="B407" s="37"/>
      <c r="C407" s="29"/>
      <c r="D407" s="29"/>
      <c r="E407" s="37"/>
      <c r="F407" s="37"/>
      <c r="G407" s="37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 ht="11.25" customHeight="1">
      <c r="A408" s="29"/>
      <c r="B408" s="37"/>
      <c r="C408" s="29"/>
      <c r="D408" s="29"/>
      <c r="E408" s="37"/>
      <c r="F408" s="37"/>
      <c r="G408" s="37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 ht="11.25" customHeight="1">
      <c r="A409" s="29"/>
      <c r="B409" s="37"/>
      <c r="C409" s="29"/>
      <c r="D409" s="29"/>
      <c r="E409" s="37"/>
      <c r="F409" s="37"/>
      <c r="G409" s="37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 ht="11.25" customHeight="1">
      <c r="A410" s="29"/>
      <c r="B410" s="37"/>
      <c r="C410" s="29"/>
      <c r="D410" s="29"/>
      <c r="E410" s="37"/>
      <c r="F410" s="37"/>
      <c r="G410" s="37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 ht="11.25" customHeight="1">
      <c r="A411" s="29"/>
      <c r="B411" s="37"/>
      <c r="C411" s="29"/>
      <c r="D411" s="29"/>
      <c r="E411" s="37"/>
      <c r="F411" s="37"/>
      <c r="G411" s="37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 ht="11.25" customHeight="1">
      <c r="A412" s="29"/>
      <c r="B412" s="37"/>
      <c r="C412" s="29"/>
      <c r="D412" s="29"/>
      <c r="E412" s="37"/>
      <c r="F412" s="37"/>
      <c r="G412" s="37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 ht="11.25" customHeight="1">
      <c r="A413" s="29"/>
      <c r="B413" s="37"/>
      <c r="C413" s="29"/>
      <c r="D413" s="29"/>
      <c r="E413" s="37"/>
      <c r="F413" s="37"/>
      <c r="G413" s="37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 ht="11.25" customHeight="1">
      <c r="A414" s="29"/>
      <c r="B414" s="37"/>
      <c r="C414" s="29"/>
      <c r="D414" s="29"/>
      <c r="E414" s="37"/>
      <c r="F414" s="37"/>
      <c r="G414" s="37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 ht="11.25" customHeight="1">
      <c r="A415" s="29"/>
      <c r="B415" s="37"/>
      <c r="C415" s="29"/>
      <c r="D415" s="29"/>
      <c r="E415" s="37"/>
      <c r="F415" s="37"/>
      <c r="G415" s="37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 ht="11.25" customHeight="1">
      <c r="A416" s="29"/>
      <c r="B416" s="37"/>
      <c r="C416" s="29"/>
      <c r="D416" s="29"/>
      <c r="E416" s="37"/>
      <c r="F416" s="37"/>
      <c r="G416" s="37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 ht="11.25" customHeight="1">
      <c r="A417" s="29"/>
      <c r="B417" s="37"/>
      <c r="C417" s="29"/>
      <c r="D417" s="29"/>
      <c r="E417" s="37"/>
      <c r="F417" s="37"/>
      <c r="G417" s="37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 ht="11.25" customHeight="1">
      <c r="A418" s="29"/>
      <c r="B418" s="37"/>
      <c r="C418" s="29"/>
      <c r="D418" s="29"/>
      <c r="E418" s="37"/>
      <c r="F418" s="37"/>
      <c r="G418" s="37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 ht="11.25" customHeight="1">
      <c r="A419" s="29"/>
      <c r="B419" s="37"/>
      <c r="C419" s="29"/>
      <c r="D419" s="29"/>
      <c r="E419" s="37"/>
      <c r="F419" s="37"/>
      <c r="G419" s="37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 ht="11.25" customHeight="1">
      <c r="A420" s="29"/>
      <c r="B420" s="37"/>
      <c r="C420" s="29"/>
      <c r="D420" s="29"/>
      <c r="E420" s="37"/>
      <c r="F420" s="37"/>
      <c r="G420" s="37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 ht="11.25" customHeight="1">
      <c r="A421" s="29"/>
      <c r="B421" s="37"/>
      <c r="C421" s="29"/>
      <c r="D421" s="29"/>
      <c r="E421" s="37"/>
      <c r="F421" s="37"/>
      <c r="G421" s="37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 ht="11.25" customHeight="1">
      <c r="A422" s="29"/>
      <c r="B422" s="37"/>
      <c r="C422" s="29"/>
      <c r="D422" s="29"/>
      <c r="E422" s="37"/>
      <c r="F422" s="37"/>
      <c r="G422" s="37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 ht="11.25" customHeight="1">
      <c r="A423" s="29"/>
      <c r="B423" s="37"/>
      <c r="C423" s="29"/>
      <c r="D423" s="29"/>
      <c r="E423" s="37"/>
      <c r="F423" s="37"/>
      <c r="G423" s="37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 ht="11.25" customHeight="1">
      <c r="A424" s="29"/>
      <c r="B424" s="37"/>
      <c r="C424" s="29"/>
      <c r="D424" s="29"/>
      <c r="E424" s="37"/>
      <c r="F424" s="37"/>
      <c r="G424" s="37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 ht="11.25" customHeight="1">
      <c r="A425" s="29"/>
      <c r="B425" s="37"/>
      <c r="C425" s="29"/>
      <c r="D425" s="29"/>
      <c r="E425" s="37"/>
      <c r="F425" s="37"/>
      <c r="G425" s="37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 ht="11.25" customHeight="1">
      <c r="A426" s="29"/>
      <c r="B426" s="37"/>
      <c r="C426" s="29"/>
      <c r="D426" s="29"/>
      <c r="E426" s="37"/>
      <c r="F426" s="37"/>
      <c r="G426" s="37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 ht="11.25" customHeight="1">
      <c r="A427" s="29"/>
      <c r="B427" s="37"/>
      <c r="C427" s="29"/>
      <c r="D427" s="29"/>
      <c r="E427" s="37"/>
      <c r="F427" s="37"/>
      <c r="G427" s="37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 ht="11.25" customHeight="1">
      <c r="A428" s="29"/>
      <c r="B428" s="37"/>
      <c r="C428" s="29"/>
      <c r="D428" s="29"/>
      <c r="E428" s="37"/>
      <c r="F428" s="37"/>
      <c r="G428" s="37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 ht="11.25" customHeight="1">
      <c r="A429" s="29"/>
      <c r="B429" s="37"/>
      <c r="C429" s="29"/>
      <c r="D429" s="29"/>
      <c r="E429" s="37"/>
      <c r="F429" s="37"/>
      <c r="G429" s="37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 ht="11.25" customHeight="1">
      <c r="A430" s="29"/>
      <c r="B430" s="37"/>
      <c r="C430" s="29"/>
      <c r="D430" s="29"/>
      <c r="E430" s="37"/>
      <c r="F430" s="37"/>
      <c r="G430" s="37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 ht="11.25" customHeight="1">
      <c r="A431" s="29"/>
      <c r="B431" s="37"/>
      <c r="C431" s="29"/>
      <c r="D431" s="29"/>
      <c r="E431" s="37"/>
      <c r="F431" s="37"/>
      <c r="G431" s="37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 ht="11.25" customHeight="1">
      <c r="A432" s="29"/>
      <c r="B432" s="37"/>
      <c r="C432" s="29"/>
      <c r="D432" s="29"/>
      <c r="E432" s="37"/>
      <c r="F432" s="37"/>
      <c r="G432" s="37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 ht="11.25" customHeight="1">
      <c r="A433" s="29"/>
      <c r="B433" s="37"/>
      <c r="C433" s="29"/>
      <c r="D433" s="29"/>
      <c r="E433" s="37"/>
      <c r="F433" s="37"/>
      <c r="G433" s="37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 ht="11.25" customHeight="1">
      <c r="A434" s="29"/>
      <c r="B434" s="37"/>
      <c r="C434" s="29"/>
      <c r="D434" s="29"/>
      <c r="E434" s="37"/>
      <c r="F434" s="37"/>
      <c r="G434" s="37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 ht="11.25" customHeight="1">
      <c r="A435" s="29"/>
      <c r="B435" s="37"/>
      <c r="C435" s="29"/>
      <c r="D435" s="29"/>
      <c r="E435" s="37"/>
      <c r="F435" s="37"/>
      <c r="G435" s="37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 ht="11.25" customHeight="1">
      <c r="A436" s="29"/>
      <c r="B436" s="37"/>
      <c r="C436" s="29"/>
      <c r="D436" s="29"/>
      <c r="E436" s="37"/>
      <c r="F436" s="37"/>
      <c r="G436" s="37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 ht="11.25" customHeight="1">
      <c r="A437" s="29"/>
      <c r="B437" s="37"/>
      <c r="C437" s="29"/>
      <c r="D437" s="29"/>
      <c r="E437" s="37"/>
      <c r="F437" s="37"/>
      <c r="G437" s="37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 ht="11.25" customHeight="1">
      <c r="A438" s="29"/>
      <c r="B438" s="37"/>
      <c r="C438" s="29"/>
      <c r="D438" s="29"/>
      <c r="E438" s="37"/>
      <c r="F438" s="37"/>
      <c r="G438" s="37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 ht="11.25" customHeight="1">
      <c r="A439" s="29"/>
      <c r="B439" s="37"/>
      <c r="C439" s="29"/>
      <c r="D439" s="29"/>
      <c r="E439" s="37"/>
      <c r="F439" s="37"/>
      <c r="G439" s="37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 ht="11.25" customHeight="1">
      <c r="A440" s="29"/>
      <c r="B440" s="37"/>
      <c r="C440" s="29"/>
      <c r="D440" s="29"/>
      <c r="E440" s="37"/>
      <c r="F440" s="37"/>
      <c r="G440" s="37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 ht="11.25" customHeight="1">
      <c r="A441" s="29"/>
      <c r="B441" s="37"/>
      <c r="C441" s="29"/>
      <c r="D441" s="29"/>
      <c r="E441" s="37"/>
      <c r="F441" s="37"/>
      <c r="G441" s="37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 ht="11.25" customHeight="1">
      <c r="A442" s="29"/>
      <c r="B442" s="37"/>
      <c r="C442" s="29"/>
      <c r="D442" s="29"/>
      <c r="E442" s="37"/>
      <c r="F442" s="37"/>
      <c r="G442" s="37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 ht="11.25" customHeight="1">
      <c r="A443" s="29"/>
      <c r="B443" s="37"/>
      <c r="C443" s="29"/>
      <c r="D443" s="29"/>
      <c r="E443" s="37"/>
      <c r="F443" s="37"/>
      <c r="G443" s="37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 ht="11.25" customHeight="1">
      <c r="A444" s="29"/>
      <c r="B444" s="37"/>
      <c r="C444" s="29"/>
      <c r="D444" s="29"/>
      <c r="E444" s="37"/>
      <c r="F444" s="37"/>
      <c r="G444" s="37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 ht="11.25" customHeight="1">
      <c r="A445" s="29"/>
      <c r="B445" s="37"/>
      <c r="C445" s="29"/>
      <c r="D445" s="29"/>
      <c r="E445" s="37"/>
      <c r="F445" s="37"/>
      <c r="G445" s="37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 ht="11.25" customHeight="1">
      <c r="A446" s="29"/>
      <c r="B446" s="37"/>
      <c r="C446" s="29"/>
      <c r="D446" s="29"/>
      <c r="E446" s="37"/>
      <c r="F446" s="37"/>
      <c r="G446" s="37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 ht="11.25" customHeight="1">
      <c r="A447" s="29"/>
      <c r="B447" s="37"/>
      <c r="C447" s="29"/>
      <c r="D447" s="29"/>
      <c r="E447" s="37"/>
      <c r="F447" s="37"/>
      <c r="G447" s="37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 ht="11.25" customHeight="1">
      <c r="A448" s="29"/>
      <c r="B448" s="37"/>
      <c r="C448" s="29"/>
      <c r="D448" s="29"/>
      <c r="E448" s="37"/>
      <c r="F448" s="37"/>
      <c r="G448" s="37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 ht="11.25" customHeight="1">
      <c r="A449" s="29"/>
      <c r="B449" s="37"/>
      <c r="C449" s="29"/>
      <c r="D449" s="29"/>
      <c r="E449" s="37"/>
      <c r="F449" s="37"/>
      <c r="G449" s="37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 ht="11.25" customHeight="1">
      <c r="A450" s="29"/>
      <c r="B450" s="37"/>
      <c r="C450" s="29"/>
      <c r="D450" s="29"/>
      <c r="E450" s="37"/>
      <c r="F450" s="37"/>
      <c r="G450" s="37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 ht="11.25" customHeight="1">
      <c r="A451" s="29"/>
      <c r="B451" s="37"/>
      <c r="C451" s="29"/>
      <c r="D451" s="29"/>
      <c r="E451" s="37"/>
      <c r="F451" s="37"/>
      <c r="G451" s="37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 ht="11.25" customHeight="1">
      <c r="A452" s="29"/>
      <c r="B452" s="37"/>
      <c r="C452" s="29"/>
      <c r="D452" s="29"/>
      <c r="E452" s="37"/>
      <c r="F452" s="37"/>
      <c r="G452" s="37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 ht="11.25" customHeight="1">
      <c r="A453" s="29"/>
      <c r="B453" s="37"/>
      <c r="C453" s="29"/>
      <c r="D453" s="29"/>
      <c r="E453" s="37"/>
      <c r="F453" s="37"/>
      <c r="G453" s="37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 ht="11.25" customHeight="1">
      <c r="A454" s="29"/>
      <c r="B454" s="37"/>
      <c r="C454" s="29"/>
      <c r="D454" s="29"/>
      <c r="E454" s="37"/>
      <c r="F454" s="37"/>
      <c r="G454" s="37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 ht="11.25" customHeight="1">
      <c r="A455" s="29"/>
      <c r="B455" s="37"/>
      <c r="C455" s="29"/>
      <c r="D455" s="29"/>
      <c r="E455" s="37"/>
      <c r="F455" s="37"/>
      <c r="G455" s="37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 ht="11.25" customHeight="1">
      <c r="A456" s="29"/>
      <c r="B456" s="37"/>
      <c r="C456" s="29"/>
      <c r="D456" s="29"/>
      <c r="E456" s="37"/>
      <c r="F456" s="37"/>
      <c r="G456" s="37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 ht="11.25" customHeight="1">
      <c r="A457" s="29"/>
      <c r="B457" s="37"/>
      <c r="C457" s="29"/>
      <c r="D457" s="29"/>
      <c r="E457" s="37"/>
      <c r="F457" s="37"/>
      <c r="G457" s="37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 ht="11.25" customHeight="1">
      <c r="A458" s="29"/>
      <c r="B458" s="37"/>
      <c r="C458" s="29"/>
      <c r="D458" s="29"/>
      <c r="E458" s="37"/>
      <c r="F458" s="37"/>
      <c r="G458" s="37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 ht="11.25" customHeight="1">
      <c r="A459" s="29"/>
      <c r="B459" s="37"/>
      <c r="C459" s="29"/>
      <c r="D459" s="29"/>
      <c r="E459" s="37"/>
      <c r="F459" s="37"/>
      <c r="G459" s="37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 ht="11.25" customHeight="1">
      <c r="A460" s="29"/>
      <c r="B460" s="37"/>
      <c r="C460" s="29"/>
      <c r="D460" s="29"/>
      <c r="E460" s="37"/>
      <c r="F460" s="37"/>
      <c r="G460" s="37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 ht="11.25" customHeight="1">
      <c r="A461" s="29"/>
      <c r="B461" s="37"/>
      <c r="C461" s="29"/>
      <c r="D461" s="29"/>
      <c r="E461" s="37"/>
      <c r="F461" s="37"/>
      <c r="G461" s="37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 ht="11.25" customHeight="1">
      <c r="A462" s="29"/>
      <c r="B462" s="37"/>
      <c r="C462" s="29"/>
      <c r="D462" s="29"/>
      <c r="E462" s="37"/>
      <c r="F462" s="37"/>
      <c r="G462" s="37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 ht="11.25" customHeight="1">
      <c r="A463" s="29"/>
      <c r="B463" s="37"/>
      <c r="C463" s="29"/>
      <c r="D463" s="29"/>
      <c r="E463" s="37"/>
      <c r="F463" s="37"/>
      <c r="G463" s="37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 ht="11.25" customHeight="1">
      <c r="A464" s="29"/>
      <c r="B464" s="37"/>
      <c r="C464" s="29"/>
      <c r="D464" s="29"/>
      <c r="E464" s="37"/>
      <c r="F464" s="37"/>
      <c r="G464" s="37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 ht="11.25" customHeight="1">
      <c r="A465" s="29"/>
      <c r="B465" s="37"/>
      <c r="C465" s="29"/>
      <c r="D465" s="29"/>
      <c r="E465" s="37"/>
      <c r="F465" s="37"/>
      <c r="G465" s="37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 ht="11.25" customHeight="1">
      <c r="A466" s="29"/>
      <c r="B466" s="37"/>
      <c r="C466" s="29"/>
      <c r="D466" s="29"/>
      <c r="E466" s="37"/>
      <c r="F466" s="37"/>
      <c r="G466" s="37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 ht="11.25" customHeight="1">
      <c r="A467" s="29"/>
      <c r="B467" s="37"/>
      <c r="C467" s="29"/>
      <c r="D467" s="29"/>
      <c r="E467" s="37"/>
      <c r="F467" s="37"/>
      <c r="G467" s="37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 ht="11.25" customHeight="1">
      <c r="A468" s="29"/>
      <c r="B468" s="37"/>
      <c r="C468" s="29"/>
      <c r="D468" s="29"/>
      <c r="E468" s="37"/>
      <c r="F468" s="37"/>
      <c r="G468" s="37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 ht="11.25" customHeight="1">
      <c r="A469" s="29"/>
      <c r="B469" s="37"/>
      <c r="C469" s="29"/>
      <c r="D469" s="29"/>
      <c r="E469" s="37"/>
      <c r="F469" s="37"/>
      <c r="G469" s="37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 ht="11.25" customHeight="1">
      <c r="A470" s="29"/>
      <c r="B470" s="37"/>
      <c r="C470" s="29"/>
      <c r="D470" s="29"/>
      <c r="E470" s="37"/>
      <c r="F470" s="37"/>
      <c r="G470" s="37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 ht="11.25" customHeight="1">
      <c r="A471" s="29"/>
      <c r="B471" s="37"/>
      <c r="C471" s="29"/>
      <c r="D471" s="29"/>
      <c r="E471" s="37"/>
      <c r="F471" s="37"/>
      <c r="G471" s="37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 ht="11.25" customHeight="1">
      <c r="A472" s="29"/>
      <c r="B472" s="37"/>
      <c r="C472" s="29"/>
      <c r="D472" s="29"/>
      <c r="E472" s="37"/>
      <c r="F472" s="37"/>
      <c r="G472" s="37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 ht="11.25" customHeight="1">
      <c r="A473" s="29"/>
      <c r="B473" s="37"/>
      <c r="C473" s="29"/>
      <c r="D473" s="29"/>
      <c r="E473" s="37"/>
      <c r="F473" s="37"/>
      <c r="G473" s="37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 ht="11.25" customHeight="1">
      <c r="A474" s="29"/>
      <c r="B474" s="37"/>
      <c r="C474" s="29"/>
      <c r="D474" s="29"/>
      <c r="E474" s="37"/>
      <c r="F474" s="37"/>
      <c r="G474" s="37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 ht="11.25" customHeight="1">
      <c r="A475" s="29"/>
      <c r="B475" s="37"/>
      <c r="C475" s="29"/>
      <c r="D475" s="29"/>
      <c r="E475" s="37"/>
      <c r="F475" s="37"/>
      <c r="G475" s="37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 ht="11.25" customHeight="1">
      <c r="A476" s="29"/>
      <c r="B476" s="37"/>
      <c r="C476" s="29"/>
      <c r="D476" s="29"/>
      <c r="E476" s="37"/>
      <c r="F476" s="37"/>
      <c r="G476" s="37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 ht="11.25" customHeight="1">
      <c r="A477" s="29"/>
      <c r="B477" s="37"/>
      <c r="C477" s="29"/>
      <c r="D477" s="29"/>
      <c r="E477" s="37"/>
      <c r="F477" s="37"/>
      <c r="G477" s="37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 ht="11.25" customHeight="1">
      <c r="A478" s="29"/>
      <c r="B478" s="37"/>
      <c r="C478" s="29"/>
      <c r="D478" s="29"/>
      <c r="E478" s="37"/>
      <c r="F478" s="37"/>
      <c r="G478" s="37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 ht="11.25" customHeight="1">
      <c r="A479" s="29"/>
      <c r="B479" s="37"/>
      <c r="C479" s="29"/>
      <c r="D479" s="29"/>
      <c r="E479" s="37"/>
      <c r="F479" s="37"/>
      <c r="G479" s="37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 ht="11.25" customHeight="1">
      <c r="A480" s="29"/>
      <c r="B480" s="37"/>
      <c r="C480" s="29"/>
      <c r="D480" s="29"/>
      <c r="E480" s="37"/>
      <c r="F480" s="37"/>
      <c r="G480" s="37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 ht="11.25" customHeight="1">
      <c r="A481" s="29"/>
      <c r="B481" s="37"/>
      <c r="C481" s="29"/>
      <c r="D481" s="29"/>
      <c r="E481" s="37"/>
      <c r="F481" s="37"/>
      <c r="G481" s="37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 ht="11.25" customHeight="1">
      <c r="A482" s="29"/>
      <c r="B482" s="37"/>
      <c r="C482" s="29"/>
      <c r="D482" s="29"/>
      <c r="E482" s="37"/>
      <c r="F482" s="37"/>
      <c r="G482" s="37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 ht="11.25" customHeight="1">
      <c r="A483" s="29"/>
      <c r="B483" s="37"/>
      <c r="C483" s="29"/>
      <c r="D483" s="29"/>
      <c r="E483" s="37"/>
      <c r="F483" s="37"/>
      <c r="G483" s="37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 ht="11.25" customHeight="1">
      <c r="A484" s="29"/>
      <c r="B484" s="37"/>
      <c r="C484" s="29"/>
      <c r="D484" s="29"/>
      <c r="E484" s="37"/>
      <c r="F484" s="37"/>
      <c r="G484" s="37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 ht="11.25" customHeight="1">
      <c r="A485" s="29"/>
      <c r="B485" s="37"/>
      <c r="C485" s="29"/>
      <c r="D485" s="29"/>
      <c r="E485" s="37"/>
      <c r="F485" s="37"/>
      <c r="G485" s="37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 ht="11.25" customHeight="1">
      <c r="A486" s="29"/>
      <c r="B486" s="37"/>
      <c r="C486" s="29"/>
      <c r="D486" s="29"/>
      <c r="E486" s="37"/>
      <c r="F486" s="37"/>
      <c r="G486" s="37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 ht="11.25" customHeight="1">
      <c r="A487" s="29"/>
      <c r="B487" s="37"/>
      <c r="C487" s="29"/>
      <c r="D487" s="29"/>
      <c r="E487" s="37"/>
      <c r="F487" s="37"/>
      <c r="G487" s="37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 ht="11.25" customHeight="1">
      <c r="A488" s="29"/>
      <c r="B488" s="37"/>
      <c r="C488" s="29"/>
      <c r="D488" s="29"/>
      <c r="E488" s="37"/>
      <c r="F488" s="37"/>
      <c r="G488" s="37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 ht="11.25" customHeight="1">
      <c r="A489" s="29"/>
      <c r="B489" s="37"/>
      <c r="C489" s="29"/>
      <c r="D489" s="29"/>
      <c r="E489" s="37"/>
      <c r="F489" s="37"/>
      <c r="G489" s="37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 ht="11.25" customHeight="1">
      <c r="A490" s="29"/>
      <c r="B490" s="37"/>
      <c r="C490" s="29"/>
      <c r="D490" s="29"/>
      <c r="E490" s="37"/>
      <c r="F490" s="37"/>
      <c r="G490" s="37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 ht="11.25" customHeight="1">
      <c r="A491" s="29"/>
      <c r="B491" s="37"/>
      <c r="C491" s="29"/>
      <c r="D491" s="29"/>
      <c r="E491" s="37"/>
      <c r="F491" s="37"/>
      <c r="G491" s="37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 ht="11.25" customHeight="1">
      <c r="A492" s="29"/>
      <c r="B492" s="37"/>
      <c r="C492" s="29"/>
      <c r="D492" s="29"/>
      <c r="E492" s="37"/>
      <c r="F492" s="37"/>
      <c r="G492" s="37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 ht="11.25" customHeight="1">
      <c r="A493" s="29"/>
      <c r="B493" s="37"/>
      <c r="C493" s="29"/>
      <c r="D493" s="29"/>
      <c r="E493" s="37"/>
      <c r="F493" s="37"/>
      <c r="G493" s="37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 ht="11.25" customHeight="1">
      <c r="A494" s="29"/>
      <c r="B494" s="37"/>
      <c r="C494" s="29"/>
      <c r="D494" s="29"/>
      <c r="E494" s="37"/>
      <c r="F494" s="37"/>
      <c r="G494" s="37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 ht="11.25" customHeight="1">
      <c r="A495" s="29"/>
      <c r="B495" s="37"/>
      <c r="C495" s="29"/>
      <c r="D495" s="29"/>
      <c r="E495" s="37"/>
      <c r="F495" s="37"/>
      <c r="G495" s="37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 ht="11.25" customHeight="1">
      <c r="A496" s="29"/>
      <c r="B496" s="37"/>
      <c r="C496" s="29"/>
      <c r="D496" s="29"/>
      <c r="E496" s="37"/>
      <c r="F496" s="37"/>
      <c r="G496" s="37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 ht="11.25" customHeight="1">
      <c r="A497" s="29"/>
      <c r="B497" s="37"/>
      <c r="C497" s="29"/>
      <c r="D497" s="29"/>
      <c r="E497" s="37"/>
      <c r="F497" s="37"/>
      <c r="G497" s="37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 ht="11.25" customHeight="1">
      <c r="A498" s="29"/>
      <c r="B498" s="37"/>
      <c r="C498" s="29"/>
      <c r="D498" s="29"/>
      <c r="E498" s="37"/>
      <c r="F498" s="37"/>
      <c r="G498" s="37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 ht="11.25" customHeight="1">
      <c r="A499" s="29"/>
      <c r="B499" s="37"/>
      <c r="C499" s="29"/>
      <c r="D499" s="29"/>
      <c r="E499" s="37"/>
      <c r="F499" s="37"/>
      <c r="G499" s="37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 ht="11.25" customHeight="1">
      <c r="A500" s="29"/>
      <c r="B500" s="37"/>
      <c r="C500" s="29"/>
      <c r="D500" s="29"/>
      <c r="E500" s="37"/>
      <c r="F500" s="37"/>
      <c r="G500" s="37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 ht="11.25" customHeight="1">
      <c r="A501" s="29"/>
      <c r="B501" s="37"/>
      <c r="C501" s="29"/>
      <c r="D501" s="29"/>
      <c r="E501" s="37"/>
      <c r="F501" s="37"/>
      <c r="G501" s="37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 ht="11.25" customHeight="1">
      <c r="A502" s="29"/>
      <c r="B502" s="37"/>
      <c r="C502" s="29"/>
      <c r="D502" s="29"/>
      <c r="E502" s="37"/>
      <c r="F502" s="37"/>
      <c r="G502" s="37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 ht="11.25" customHeight="1">
      <c r="A503" s="29"/>
      <c r="B503" s="37"/>
      <c r="C503" s="29"/>
      <c r="D503" s="29"/>
      <c r="E503" s="37"/>
      <c r="F503" s="37"/>
      <c r="G503" s="37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 ht="11.25" customHeight="1">
      <c r="A504" s="29"/>
      <c r="B504" s="37"/>
      <c r="C504" s="29"/>
      <c r="D504" s="29"/>
      <c r="E504" s="37"/>
      <c r="F504" s="37"/>
      <c r="G504" s="37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 ht="11.25" customHeight="1">
      <c r="A505" s="29"/>
      <c r="B505" s="37"/>
      <c r="C505" s="29"/>
      <c r="D505" s="29"/>
      <c r="E505" s="37"/>
      <c r="F505" s="37"/>
      <c r="G505" s="37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 ht="11.25" customHeight="1">
      <c r="A506" s="29"/>
      <c r="B506" s="37"/>
      <c r="C506" s="29"/>
      <c r="D506" s="29"/>
      <c r="E506" s="37"/>
      <c r="F506" s="37"/>
      <c r="G506" s="37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 ht="11.25" customHeight="1">
      <c r="A507" s="29"/>
      <c r="B507" s="37"/>
      <c r="C507" s="29"/>
      <c r="D507" s="29"/>
      <c r="E507" s="37"/>
      <c r="F507" s="37"/>
      <c r="G507" s="37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 ht="11.25" customHeight="1">
      <c r="A508" s="29"/>
      <c r="B508" s="37"/>
      <c r="C508" s="29"/>
      <c r="D508" s="29"/>
      <c r="E508" s="37"/>
      <c r="F508" s="37"/>
      <c r="G508" s="37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 ht="11.25" customHeight="1">
      <c r="A509" s="29"/>
      <c r="B509" s="37"/>
      <c r="C509" s="29"/>
      <c r="D509" s="29"/>
      <c r="E509" s="37"/>
      <c r="F509" s="37"/>
      <c r="G509" s="37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 ht="11.25" customHeight="1">
      <c r="A510" s="29"/>
      <c r="B510" s="37"/>
      <c r="C510" s="29"/>
      <c r="D510" s="29"/>
      <c r="E510" s="37"/>
      <c r="F510" s="37"/>
      <c r="G510" s="37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 ht="11.25" customHeight="1">
      <c r="A511" s="29"/>
      <c r="B511" s="37"/>
      <c r="C511" s="29"/>
      <c r="D511" s="29"/>
      <c r="E511" s="37"/>
      <c r="F511" s="37"/>
      <c r="G511" s="37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 ht="11.25" customHeight="1">
      <c r="A512" s="29"/>
      <c r="B512" s="37"/>
      <c r="C512" s="29"/>
      <c r="D512" s="29"/>
      <c r="E512" s="37"/>
      <c r="F512" s="37"/>
      <c r="G512" s="37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 ht="11.25" customHeight="1">
      <c r="A513" s="29"/>
      <c r="B513" s="37"/>
      <c r="C513" s="29"/>
      <c r="D513" s="29"/>
      <c r="E513" s="37"/>
      <c r="F513" s="37"/>
      <c r="G513" s="37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 ht="11.25" customHeight="1">
      <c r="A514" s="29"/>
      <c r="B514" s="37"/>
      <c r="C514" s="29"/>
      <c r="D514" s="29"/>
      <c r="E514" s="37"/>
      <c r="F514" s="37"/>
      <c r="G514" s="37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 ht="11.25" customHeight="1">
      <c r="A515" s="29"/>
      <c r="B515" s="37"/>
      <c r="C515" s="29"/>
      <c r="D515" s="29"/>
      <c r="E515" s="37"/>
      <c r="F515" s="37"/>
      <c r="G515" s="37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 ht="11.25" customHeight="1">
      <c r="A516" s="29"/>
      <c r="B516" s="37"/>
      <c r="C516" s="29"/>
      <c r="D516" s="29"/>
      <c r="E516" s="37"/>
      <c r="F516" s="37"/>
      <c r="G516" s="37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 ht="11.25" customHeight="1">
      <c r="A517" s="29"/>
      <c r="B517" s="37"/>
      <c r="C517" s="29"/>
      <c r="D517" s="29"/>
      <c r="E517" s="37"/>
      <c r="F517" s="37"/>
      <c r="G517" s="37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 ht="11.25" customHeight="1">
      <c r="A518" s="29"/>
      <c r="B518" s="37"/>
      <c r="C518" s="29"/>
      <c r="D518" s="29"/>
      <c r="E518" s="37"/>
      <c r="F518" s="37"/>
      <c r="G518" s="37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 ht="11.25" customHeight="1">
      <c r="A519" s="29"/>
      <c r="B519" s="37"/>
      <c r="C519" s="29"/>
      <c r="D519" s="29"/>
      <c r="E519" s="37"/>
      <c r="F519" s="37"/>
      <c r="G519" s="37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 ht="11.25" customHeight="1">
      <c r="A520" s="29"/>
      <c r="B520" s="37"/>
      <c r="C520" s="29"/>
      <c r="D520" s="29"/>
      <c r="E520" s="37"/>
      <c r="F520" s="37"/>
      <c r="G520" s="37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 ht="11.25" customHeight="1">
      <c r="A521" s="29"/>
      <c r="B521" s="37"/>
      <c r="C521" s="29"/>
      <c r="D521" s="29"/>
      <c r="E521" s="37"/>
      <c r="F521" s="37"/>
      <c r="G521" s="37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 ht="11.25" customHeight="1">
      <c r="A522" s="29"/>
      <c r="B522" s="37"/>
      <c r="C522" s="29"/>
      <c r="D522" s="29"/>
      <c r="E522" s="37"/>
      <c r="F522" s="37"/>
      <c r="G522" s="37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 ht="11.25" customHeight="1">
      <c r="A523" s="29"/>
      <c r="B523" s="37"/>
      <c r="C523" s="29"/>
      <c r="D523" s="29"/>
      <c r="E523" s="37"/>
      <c r="F523" s="37"/>
      <c r="G523" s="37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 ht="11.25" customHeight="1">
      <c r="A524" s="29"/>
      <c r="B524" s="37"/>
      <c r="C524" s="29"/>
      <c r="D524" s="29"/>
      <c r="E524" s="37"/>
      <c r="F524" s="37"/>
      <c r="G524" s="37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 ht="11.25" customHeight="1">
      <c r="A525" s="29"/>
      <c r="B525" s="37"/>
      <c r="C525" s="29"/>
      <c r="D525" s="29"/>
      <c r="E525" s="37"/>
      <c r="F525" s="37"/>
      <c r="G525" s="37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 ht="11.25" customHeight="1">
      <c r="A526" s="29"/>
      <c r="B526" s="37"/>
      <c r="C526" s="29"/>
      <c r="D526" s="29"/>
      <c r="E526" s="37"/>
      <c r="F526" s="37"/>
      <c r="G526" s="37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 ht="11.25" customHeight="1">
      <c r="A527" s="29"/>
      <c r="B527" s="37"/>
      <c r="C527" s="29"/>
      <c r="D527" s="29"/>
      <c r="E527" s="37"/>
      <c r="F527" s="37"/>
      <c r="G527" s="37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 ht="11.25" customHeight="1">
      <c r="A528" s="29"/>
      <c r="B528" s="37"/>
      <c r="C528" s="29"/>
      <c r="D528" s="29"/>
      <c r="E528" s="37"/>
      <c r="F528" s="37"/>
      <c r="G528" s="37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 ht="11.25" customHeight="1">
      <c r="A529" s="29"/>
      <c r="B529" s="37"/>
      <c r="C529" s="29"/>
      <c r="D529" s="29"/>
      <c r="E529" s="37"/>
      <c r="F529" s="37"/>
      <c r="G529" s="37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 ht="11.25" customHeight="1">
      <c r="A530" s="29"/>
      <c r="B530" s="37"/>
      <c r="C530" s="29"/>
      <c r="D530" s="29"/>
      <c r="E530" s="37"/>
      <c r="F530" s="37"/>
      <c r="G530" s="37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 ht="11.25" customHeight="1">
      <c r="A531" s="29"/>
      <c r="B531" s="37"/>
      <c r="C531" s="29"/>
      <c r="D531" s="29"/>
      <c r="E531" s="37"/>
      <c r="F531" s="37"/>
      <c r="G531" s="37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 ht="11.25" customHeight="1">
      <c r="A532" s="29"/>
      <c r="B532" s="37"/>
      <c r="C532" s="29"/>
      <c r="D532" s="29"/>
      <c r="E532" s="37"/>
      <c r="F532" s="37"/>
      <c r="G532" s="37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 ht="11.25" customHeight="1">
      <c r="A533" s="29"/>
      <c r="B533" s="37"/>
      <c r="C533" s="29"/>
      <c r="D533" s="29"/>
      <c r="E533" s="37"/>
      <c r="F533" s="37"/>
      <c r="G533" s="37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 ht="11.25" customHeight="1">
      <c r="A534" s="29"/>
      <c r="B534" s="37"/>
      <c r="C534" s="29"/>
      <c r="D534" s="29"/>
      <c r="E534" s="37"/>
      <c r="F534" s="37"/>
      <c r="G534" s="37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 ht="11.25" customHeight="1">
      <c r="A535" s="29"/>
      <c r="B535" s="37"/>
      <c r="C535" s="29"/>
      <c r="D535" s="29"/>
      <c r="E535" s="37"/>
      <c r="F535" s="37"/>
      <c r="G535" s="37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 ht="11.25" customHeight="1">
      <c r="A536" s="29"/>
      <c r="B536" s="37"/>
      <c r="C536" s="29"/>
      <c r="D536" s="29"/>
      <c r="E536" s="37"/>
      <c r="F536" s="37"/>
      <c r="G536" s="37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 ht="11.25" customHeight="1">
      <c r="A537" s="29"/>
      <c r="B537" s="37"/>
      <c r="C537" s="29"/>
      <c r="D537" s="29"/>
      <c r="E537" s="37"/>
      <c r="F537" s="37"/>
      <c r="G537" s="37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 ht="11.25" customHeight="1">
      <c r="A538" s="29"/>
      <c r="B538" s="37"/>
      <c r="C538" s="29"/>
      <c r="D538" s="29"/>
      <c r="E538" s="37"/>
      <c r="F538" s="37"/>
      <c r="G538" s="37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 ht="11.25" customHeight="1">
      <c r="A539" s="29"/>
      <c r="B539" s="37"/>
      <c r="C539" s="29"/>
      <c r="D539" s="29"/>
      <c r="E539" s="37"/>
      <c r="F539" s="37"/>
      <c r="G539" s="37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 ht="11.25" customHeight="1">
      <c r="A540" s="29"/>
      <c r="B540" s="37"/>
      <c r="C540" s="29"/>
      <c r="D540" s="29"/>
      <c r="E540" s="37"/>
      <c r="F540" s="37"/>
      <c r="G540" s="37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 ht="11.25" customHeight="1">
      <c r="A541" s="29"/>
      <c r="B541" s="37"/>
      <c r="C541" s="29"/>
      <c r="D541" s="29"/>
      <c r="E541" s="37"/>
      <c r="F541" s="37"/>
      <c r="G541" s="37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 ht="11.25" customHeight="1">
      <c r="A542" s="29"/>
      <c r="B542" s="37"/>
      <c r="C542" s="29"/>
      <c r="D542" s="29"/>
      <c r="E542" s="37"/>
      <c r="F542" s="37"/>
      <c r="G542" s="37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 ht="11.25" customHeight="1">
      <c r="A543" s="29"/>
      <c r="B543" s="37"/>
      <c r="C543" s="29"/>
      <c r="D543" s="29"/>
      <c r="E543" s="37"/>
      <c r="F543" s="37"/>
      <c r="G543" s="37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 ht="11.25" customHeight="1">
      <c r="A544" s="29"/>
      <c r="B544" s="37"/>
      <c r="C544" s="29"/>
      <c r="D544" s="29"/>
      <c r="E544" s="37"/>
      <c r="F544" s="37"/>
      <c r="G544" s="37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 ht="11.25" customHeight="1">
      <c r="A545" s="29"/>
      <c r="B545" s="37"/>
      <c r="C545" s="29"/>
      <c r="D545" s="29"/>
      <c r="E545" s="37"/>
      <c r="F545" s="37"/>
      <c r="G545" s="37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 ht="11.25" customHeight="1">
      <c r="A546" s="29"/>
      <c r="B546" s="37"/>
      <c r="C546" s="29"/>
      <c r="D546" s="29"/>
      <c r="E546" s="37"/>
      <c r="F546" s="37"/>
      <c r="G546" s="37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 ht="11.25" customHeight="1">
      <c r="A547" s="29"/>
      <c r="B547" s="37"/>
      <c r="C547" s="29"/>
      <c r="D547" s="29"/>
      <c r="E547" s="37"/>
      <c r="F547" s="37"/>
      <c r="G547" s="37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 ht="11.25" customHeight="1">
      <c r="A548" s="29"/>
      <c r="B548" s="37"/>
      <c r="C548" s="29"/>
      <c r="D548" s="29"/>
      <c r="E548" s="37"/>
      <c r="F548" s="37"/>
      <c r="G548" s="37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 ht="11.25" customHeight="1">
      <c r="A549" s="29"/>
      <c r="B549" s="37"/>
      <c r="C549" s="29"/>
      <c r="D549" s="29"/>
      <c r="E549" s="37"/>
      <c r="F549" s="37"/>
      <c r="G549" s="37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 ht="11.25" customHeight="1">
      <c r="A550" s="29"/>
      <c r="B550" s="37"/>
      <c r="C550" s="29"/>
      <c r="D550" s="29"/>
      <c r="E550" s="37"/>
      <c r="F550" s="37"/>
      <c r="G550" s="37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 ht="11.25" customHeight="1">
      <c r="A551" s="29"/>
      <c r="B551" s="37"/>
      <c r="C551" s="29"/>
      <c r="D551" s="29"/>
      <c r="E551" s="37"/>
      <c r="F551" s="37"/>
      <c r="G551" s="37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 ht="11.25" customHeight="1">
      <c r="A552" s="29"/>
      <c r="B552" s="37"/>
      <c r="C552" s="29"/>
      <c r="D552" s="29"/>
      <c r="E552" s="37"/>
      <c r="F552" s="37"/>
      <c r="G552" s="37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 ht="11.25" customHeight="1">
      <c r="A553" s="29"/>
      <c r="B553" s="37"/>
      <c r="C553" s="29"/>
      <c r="D553" s="29"/>
      <c r="E553" s="37"/>
      <c r="F553" s="37"/>
      <c r="G553" s="37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 ht="11.25" customHeight="1">
      <c r="A554" s="29"/>
      <c r="B554" s="37"/>
      <c r="C554" s="29"/>
      <c r="D554" s="29"/>
      <c r="E554" s="37"/>
      <c r="F554" s="37"/>
      <c r="G554" s="37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 ht="11.25" customHeight="1">
      <c r="A555" s="29"/>
      <c r="B555" s="37"/>
      <c r="C555" s="29"/>
      <c r="D555" s="29"/>
      <c r="E555" s="37"/>
      <c r="F555" s="37"/>
      <c r="G555" s="37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 ht="11.25" customHeight="1">
      <c r="A556" s="29"/>
      <c r="B556" s="37"/>
      <c r="C556" s="29"/>
      <c r="D556" s="29"/>
      <c r="E556" s="37"/>
      <c r="F556" s="37"/>
      <c r="G556" s="37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 ht="11.25" customHeight="1">
      <c r="A557" s="29"/>
      <c r="B557" s="37"/>
      <c r="C557" s="29"/>
      <c r="D557" s="29"/>
      <c r="E557" s="37"/>
      <c r="F557" s="37"/>
      <c r="G557" s="37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 ht="11.25" customHeight="1">
      <c r="A558" s="29"/>
      <c r="B558" s="37"/>
      <c r="C558" s="29"/>
      <c r="D558" s="29"/>
      <c r="E558" s="37"/>
      <c r="F558" s="37"/>
      <c r="G558" s="37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 ht="11.25" customHeight="1">
      <c r="A559" s="29"/>
      <c r="B559" s="37"/>
      <c r="C559" s="29"/>
      <c r="D559" s="29"/>
      <c r="E559" s="37"/>
      <c r="F559" s="37"/>
      <c r="G559" s="37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 ht="11.25" customHeight="1">
      <c r="A560" s="29"/>
      <c r="B560" s="37"/>
      <c r="C560" s="29"/>
      <c r="D560" s="29"/>
      <c r="E560" s="37"/>
      <c r="F560" s="37"/>
      <c r="G560" s="37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 ht="11.25" customHeight="1">
      <c r="A561" s="29"/>
      <c r="B561" s="37"/>
      <c r="C561" s="29"/>
      <c r="D561" s="29"/>
      <c r="E561" s="37"/>
      <c r="F561" s="37"/>
      <c r="G561" s="37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 ht="11.25" customHeight="1">
      <c r="A562" s="29"/>
      <c r="B562" s="37"/>
      <c r="C562" s="29"/>
      <c r="D562" s="29"/>
      <c r="E562" s="37"/>
      <c r="F562" s="37"/>
      <c r="G562" s="37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 ht="11.25" customHeight="1">
      <c r="A563" s="29"/>
      <c r="B563" s="37"/>
      <c r="C563" s="29"/>
      <c r="D563" s="29"/>
      <c r="E563" s="37"/>
      <c r="F563" s="37"/>
      <c r="G563" s="37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 ht="11.25" customHeight="1">
      <c r="A564" s="29"/>
      <c r="B564" s="37"/>
      <c r="C564" s="29"/>
      <c r="D564" s="29"/>
      <c r="E564" s="37"/>
      <c r="F564" s="37"/>
      <c r="G564" s="37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 ht="11.25" customHeight="1">
      <c r="A565" s="29"/>
      <c r="B565" s="37"/>
      <c r="C565" s="29"/>
      <c r="D565" s="29"/>
      <c r="E565" s="37"/>
      <c r="F565" s="37"/>
      <c r="G565" s="37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 ht="11.25" customHeight="1">
      <c r="A566" s="29"/>
      <c r="B566" s="37"/>
      <c r="C566" s="29"/>
      <c r="D566" s="29"/>
      <c r="E566" s="37"/>
      <c r="F566" s="37"/>
      <c r="G566" s="37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 ht="11.25" customHeight="1">
      <c r="A567" s="29"/>
      <c r="B567" s="37"/>
      <c r="C567" s="29"/>
      <c r="D567" s="29"/>
      <c r="E567" s="37"/>
      <c r="F567" s="37"/>
      <c r="G567" s="37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 ht="11.25" customHeight="1">
      <c r="A568" s="29"/>
      <c r="B568" s="37"/>
      <c r="C568" s="29"/>
      <c r="D568" s="29"/>
      <c r="E568" s="37"/>
      <c r="F568" s="37"/>
      <c r="G568" s="37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 ht="11.25" customHeight="1">
      <c r="A569" s="29"/>
      <c r="B569" s="37"/>
      <c r="C569" s="29"/>
      <c r="D569" s="29"/>
      <c r="E569" s="37"/>
      <c r="F569" s="37"/>
      <c r="G569" s="37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 ht="11.25" customHeight="1">
      <c r="A570" s="29"/>
      <c r="B570" s="37"/>
      <c r="C570" s="29"/>
      <c r="D570" s="29"/>
      <c r="E570" s="37"/>
      <c r="F570" s="37"/>
      <c r="G570" s="37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 ht="11.25" customHeight="1">
      <c r="A571" s="29"/>
      <c r="B571" s="37"/>
      <c r="C571" s="29"/>
      <c r="D571" s="29"/>
      <c r="E571" s="37"/>
      <c r="F571" s="37"/>
      <c r="G571" s="37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 ht="11.25" customHeight="1">
      <c r="A572" s="29"/>
      <c r="B572" s="37"/>
      <c r="C572" s="29"/>
      <c r="D572" s="29"/>
      <c r="E572" s="37"/>
      <c r="F572" s="37"/>
      <c r="G572" s="37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 ht="11.25" customHeight="1">
      <c r="A573" s="29"/>
      <c r="B573" s="37"/>
      <c r="C573" s="29"/>
      <c r="D573" s="29"/>
      <c r="E573" s="37"/>
      <c r="F573" s="37"/>
      <c r="G573" s="37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 ht="11.25" customHeight="1">
      <c r="A574" s="29"/>
      <c r="B574" s="37"/>
      <c r="C574" s="29"/>
      <c r="D574" s="29"/>
      <c r="E574" s="37"/>
      <c r="F574" s="37"/>
      <c r="G574" s="37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 ht="11.25" customHeight="1">
      <c r="A575" s="29"/>
      <c r="B575" s="37"/>
      <c r="C575" s="29"/>
      <c r="D575" s="29"/>
      <c r="E575" s="37"/>
      <c r="F575" s="37"/>
      <c r="G575" s="37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 ht="11.25" customHeight="1">
      <c r="A576" s="29"/>
      <c r="B576" s="37"/>
      <c r="C576" s="29"/>
      <c r="D576" s="29"/>
      <c r="E576" s="37"/>
      <c r="F576" s="37"/>
      <c r="G576" s="37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 ht="11.25" customHeight="1">
      <c r="A577" s="29"/>
      <c r="B577" s="37"/>
      <c r="C577" s="29"/>
      <c r="D577" s="29"/>
      <c r="E577" s="37"/>
      <c r="F577" s="37"/>
      <c r="G577" s="37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 ht="11.25" customHeight="1">
      <c r="A578" s="29"/>
      <c r="B578" s="37"/>
      <c r="C578" s="29"/>
      <c r="D578" s="29"/>
      <c r="E578" s="37"/>
      <c r="F578" s="37"/>
      <c r="G578" s="37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 ht="11.25" customHeight="1">
      <c r="A579" s="29"/>
      <c r="B579" s="37"/>
      <c r="C579" s="29"/>
      <c r="D579" s="29"/>
      <c r="E579" s="37"/>
      <c r="F579" s="37"/>
      <c r="G579" s="37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 ht="11.25" customHeight="1">
      <c r="A580" s="29"/>
      <c r="B580" s="37"/>
      <c r="C580" s="29"/>
      <c r="D580" s="29"/>
      <c r="E580" s="37"/>
      <c r="F580" s="37"/>
      <c r="G580" s="37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 ht="11.25" customHeight="1">
      <c r="A581" s="29"/>
      <c r="B581" s="37"/>
      <c r="C581" s="29"/>
      <c r="D581" s="29"/>
      <c r="E581" s="37"/>
      <c r="F581" s="37"/>
      <c r="G581" s="37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 ht="11.25" customHeight="1">
      <c r="A582" s="29"/>
      <c r="B582" s="37"/>
      <c r="C582" s="29"/>
      <c r="D582" s="29"/>
      <c r="E582" s="37"/>
      <c r="F582" s="37"/>
      <c r="G582" s="37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 ht="11.25" customHeight="1">
      <c r="A583" s="29"/>
      <c r="B583" s="37"/>
      <c r="C583" s="29"/>
      <c r="D583" s="29"/>
      <c r="E583" s="37"/>
      <c r="F583" s="37"/>
      <c r="G583" s="37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 ht="11.25" customHeight="1">
      <c r="A584" s="29"/>
      <c r="B584" s="37"/>
      <c r="C584" s="29"/>
      <c r="D584" s="29"/>
      <c r="E584" s="37"/>
      <c r="F584" s="37"/>
      <c r="G584" s="37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 ht="11.25" customHeight="1">
      <c r="A585" s="29"/>
      <c r="B585" s="37"/>
      <c r="C585" s="29"/>
      <c r="D585" s="29"/>
      <c r="E585" s="37"/>
      <c r="F585" s="37"/>
      <c r="G585" s="37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 ht="11.25" customHeight="1">
      <c r="A586" s="29"/>
      <c r="B586" s="37"/>
      <c r="C586" s="29"/>
      <c r="D586" s="29"/>
      <c r="E586" s="37"/>
      <c r="F586" s="37"/>
      <c r="G586" s="37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 ht="11.25" customHeight="1">
      <c r="A587" s="29"/>
      <c r="B587" s="37"/>
      <c r="C587" s="29"/>
      <c r="D587" s="29"/>
      <c r="E587" s="37"/>
      <c r="F587" s="37"/>
      <c r="G587" s="37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 ht="11.25" customHeight="1">
      <c r="A588" s="29"/>
      <c r="B588" s="37"/>
      <c r="C588" s="29"/>
      <c r="D588" s="29"/>
      <c r="E588" s="37"/>
      <c r="F588" s="37"/>
      <c r="G588" s="37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 ht="11.25" customHeight="1">
      <c r="A589" s="29"/>
      <c r="B589" s="37"/>
      <c r="C589" s="29"/>
      <c r="D589" s="29"/>
      <c r="E589" s="37"/>
      <c r="F589" s="37"/>
      <c r="G589" s="37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 ht="11.25" customHeight="1">
      <c r="A590" s="29"/>
      <c r="B590" s="37"/>
      <c r="C590" s="29"/>
      <c r="D590" s="29"/>
      <c r="E590" s="37"/>
      <c r="F590" s="37"/>
      <c r="G590" s="37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 ht="11.25" customHeight="1">
      <c r="A591" s="29"/>
      <c r="B591" s="37"/>
      <c r="C591" s="29"/>
      <c r="D591" s="29"/>
      <c r="E591" s="37"/>
      <c r="F591" s="37"/>
      <c r="G591" s="37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 ht="11.25" customHeight="1">
      <c r="A592" s="29"/>
      <c r="B592" s="37"/>
      <c r="C592" s="29"/>
      <c r="D592" s="29"/>
      <c r="E592" s="37"/>
      <c r="F592" s="37"/>
      <c r="G592" s="37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 ht="11.25" customHeight="1">
      <c r="A593" s="29"/>
      <c r="B593" s="37"/>
      <c r="C593" s="29"/>
      <c r="D593" s="29"/>
      <c r="E593" s="37"/>
      <c r="F593" s="37"/>
      <c r="G593" s="37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 ht="11.25" customHeight="1">
      <c r="A594" s="29"/>
      <c r="B594" s="37"/>
      <c r="C594" s="29"/>
      <c r="D594" s="29"/>
      <c r="E594" s="37"/>
      <c r="F594" s="37"/>
      <c r="G594" s="37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 ht="11.25" customHeight="1">
      <c r="A595" s="29"/>
      <c r="B595" s="37"/>
      <c r="C595" s="29"/>
      <c r="D595" s="29"/>
      <c r="E595" s="37"/>
      <c r="F595" s="37"/>
      <c r="G595" s="37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 ht="11.25" customHeight="1">
      <c r="A596" s="29"/>
      <c r="B596" s="37"/>
      <c r="C596" s="29"/>
      <c r="D596" s="29"/>
      <c r="E596" s="37"/>
      <c r="F596" s="37"/>
      <c r="G596" s="37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 ht="11.25" customHeight="1">
      <c r="A597" s="29"/>
      <c r="B597" s="37"/>
      <c r="C597" s="29"/>
      <c r="D597" s="29"/>
      <c r="E597" s="37"/>
      <c r="F597" s="37"/>
      <c r="G597" s="37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 ht="11.25" customHeight="1">
      <c r="A598" s="29"/>
      <c r="B598" s="37"/>
      <c r="C598" s="29"/>
      <c r="D598" s="29"/>
      <c r="E598" s="37"/>
      <c r="F598" s="37"/>
      <c r="G598" s="37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 ht="11.25" customHeight="1">
      <c r="A599" s="29"/>
      <c r="B599" s="37"/>
      <c r="C599" s="29"/>
      <c r="D599" s="29"/>
      <c r="E599" s="37"/>
      <c r="F599" s="37"/>
      <c r="G599" s="37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 ht="11.25" customHeight="1">
      <c r="A600" s="29"/>
      <c r="B600" s="37"/>
      <c r="C600" s="29"/>
      <c r="D600" s="29"/>
      <c r="E600" s="37"/>
      <c r="F600" s="37"/>
      <c r="G600" s="37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 ht="11.25" customHeight="1">
      <c r="A601" s="29"/>
      <c r="B601" s="37"/>
      <c r="C601" s="29"/>
      <c r="D601" s="29"/>
      <c r="E601" s="37"/>
      <c r="F601" s="37"/>
      <c r="G601" s="37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 ht="11.25" customHeight="1">
      <c r="A602" s="29"/>
      <c r="B602" s="37"/>
      <c r="C602" s="29"/>
      <c r="D602" s="29"/>
      <c r="E602" s="37"/>
      <c r="F602" s="37"/>
      <c r="G602" s="37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 ht="11.25" customHeight="1">
      <c r="A603" s="29"/>
      <c r="B603" s="37"/>
      <c r="C603" s="29"/>
      <c r="D603" s="29"/>
      <c r="E603" s="37"/>
      <c r="F603" s="37"/>
      <c r="G603" s="37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 ht="11.25" customHeight="1">
      <c r="A604" s="29"/>
      <c r="B604" s="37"/>
      <c r="C604" s="29"/>
      <c r="D604" s="29"/>
      <c r="E604" s="37"/>
      <c r="F604" s="37"/>
      <c r="G604" s="37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 ht="11.25" customHeight="1">
      <c r="A605" s="29"/>
      <c r="B605" s="37"/>
      <c r="C605" s="29"/>
      <c r="D605" s="29"/>
      <c r="E605" s="37"/>
      <c r="F605" s="37"/>
      <c r="G605" s="37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 ht="11.25" customHeight="1">
      <c r="A606" s="29"/>
      <c r="B606" s="37"/>
      <c r="C606" s="29"/>
      <c r="D606" s="29"/>
      <c r="E606" s="37"/>
      <c r="F606" s="37"/>
      <c r="G606" s="37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 ht="11.25" customHeight="1">
      <c r="A607" s="29"/>
      <c r="B607" s="37"/>
      <c r="C607" s="29"/>
      <c r="D607" s="29"/>
      <c r="E607" s="37"/>
      <c r="F607" s="37"/>
      <c r="G607" s="37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 ht="11.25" customHeight="1">
      <c r="A608" s="29"/>
      <c r="B608" s="37"/>
      <c r="C608" s="29"/>
      <c r="D608" s="29"/>
      <c r="E608" s="37"/>
      <c r="F608" s="37"/>
      <c r="G608" s="37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 ht="11.25" customHeight="1">
      <c r="A609" s="29"/>
      <c r="B609" s="37"/>
      <c r="C609" s="29"/>
      <c r="D609" s="29"/>
      <c r="E609" s="37"/>
      <c r="F609" s="37"/>
      <c r="G609" s="37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 ht="11.25" customHeight="1">
      <c r="A610" s="29"/>
      <c r="B610" s="37"/>
      <c r="C610" s="29"/>
      <c r="D610" s="29"/>
      <c r="E610" s="37"/>
      <c r="F610" s="37"/>
      <c r="G610" s="37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 ht="11.25" customHeight="1">
      <c r="A611" s="29"/>
      <c r="B611" s="37"/>
      <c r="C611" s="29"/>
      <c r="D611" s="29"/>
      <c r="E611" s="37"/>
      <c r="F611" s="37"/>
      <c r="G611" s="37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 ht="11.25" customHeight="1">
      <c r="A612" s="29"/>
      <c r="B612" s="37"/>
      <c r="C612" s="29"/>
      <c r="D612" s="29"/>
      <c r="E612" s="37"/>
      <c r="F612" s="37"/>
      <c r="G612" s="37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 ht="11.25" customHeight="1">
      <c r="A613" s="29"/>
      <c r="B613" s="37"/>
      <c r="C613" s="29"/>
      <c r="D613" s="29"/>
      <c r="E613" s="37"/>
      <c r="F613" s="37"/>
      <c r="G613" s="37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 ht="11.25" customHeight="1">
      <c r="A614" s="29"/>
      <c r="B614" s="37"/>
      <c r="C614" s="29"/>
      <c r="D614" s="29"/>
      <c r="E614" s="37"/>
      <c r="F614" s="37"/>
      <c r="G614" s="37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 ht="11.25" customHeight="1">
      <c r="A615" s="29"/>
      <c r="B615" s="37"/>
      <c r="C615" s="29"/>
      <c r="D615" s="29"/>
      <c r="E615" s="37"/>
      <c r="F615" s="37"/>
      <c r="G615" s="37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 ht="11.25" customHeight="1">
      <c r="A616" s="29"/>
      <c r="B616" s="37"/>
      <c r="C616" s="29"/>
      <c r="D616" s="29"/>
      <c r="E616" s="37"/>
      <c r="F616" s="37"/>
      <c r="G616" s="37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 ht="11.25" customHeight="1">
      <c r="A617" s="29"/>
      <c r="B617" s="37"/>
      <c r="C617" s="29"/>
      <c r="D617" s="29"/>
      <c r="E617" s="37"/>
      <c r="F617" s="37"/>
      <c r="G617" s="37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 ht="11.25" customHeight="1">
      <c r="A618" s="29"/>
      <c r="B618" s="37"/>
      <c r="C618" s="29"/>
      <c r="D618" s="29"/>
      <c r="E618" s="37"/>
      <c r="F618" s="37"/>
      <c r="G618" s="37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 ht="11.25" customHeight="1">
      <c r="A619" s="29"/>
      <c r="B619" s="37"/>
      <c r="C619" s="29"/>
      <c r="D619" s="29"/>
      <c r="E619" s="37"/>
      <c r="F619" s="37"/>
      <c r="G619" s="37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 ht="11.25" customHeight="1">
      <c r="A620" s="29"/>
      <c r="B620" s="37"/>
      <c r="C620" s="29"/>
      <c r="D620" s="29"/>
      <c r="E620" s="37"/>
      <c r="F620" s="37"/>
      <c r="G620" s="37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 ht="11.25" customHeight="1">
      <c r="A621" s="29"/>
      <c r="B621" s="37"/>
      <c r="C621" s="29"/>
      <c r="D621" s="29"/>
      <c r="E621" s="37"/>
      <c r="F621" s="37"/>
      <c r="G621" s="37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 ht="11.25" customHeight="1">
      <c r="A622" s="29"/>
      <c r="B622" s="37"/>
      <c r="C622" s="29"/>
      <c r="D622" s="29"/>
      <c r="E622" s="37"/>
      <c r="F622" s="37"/>
      <c r="G622" s="37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 ht="11.25" customHeight="1">
      <c r="A623" s="29"/>
      <c r="B623" s="37"/>
      <c r="C623" s="29"/>
      <c r="D623" s="29"/>
      <c r="E623" s="37"/>
      <c r="F623" s="37"/>
      <c r="G623" s="37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 ht="11.25" customHeight="1">
      <c r="A624" s="29"/>
      <c r="B624" s="37"/>
      <c r="C624" s="29"/>
      <c r="D624" s="29"/>
      <c r="E624" s="37"/>
      <c r="F624" s="37"/>
      <c r="G624" s="37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 ht="11.25" customHeight="1">
      <c r="A625" s="29"/>
      <c r="B625" s="37"/>
      <c r="C625" s="29"/>
      <c r="D625" s="29"/>
      <c r="E625" s="37"/>
      <c r="F625" s="37"/>
      <c r="G625" s="37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 ht="11.25" customHeight="1">
      <c r="A626" s="29"/>
      <c r="B626" s="37"/>
      <c r="C626" s="29"/>
      <c r="D626" s="29"/>
      <c r="E626" s="37"/>
      <c r="F626" s="37"/>
      <c r="G626" s="37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 ht="11.25" customHeight="1">
      <c r="A627" s="29"/>
      <c r="B627" s="37"/>
      <c r="C627" s="29"/>
      <c r="D627" s="29"/>
      <c r="E627" s="37"/>
      <c r="F627" s="37"/>
      <c r="G627" s="37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 ht="11.25" customHeight="1">
      <c r="A628" s="29"/>
      <c r="B628" s="37"/>
      <c r="C628" s="29"/>
      <c r="D628" s="29"/>
      <c r="E628" s="37"/>
      <c r="F628" s="37"/>
      <c r="G628" s="37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 ht="11.25" customHeight="1">
      <c r="A629" s="29"/>
      <c r="B629" s="37"/>
      <c r="C629" s="29"/>
      <c r="D629" s="29"/>
      <c r="E629" s="37"/>
      <c r="F629" s="37"/>
      <c r="G629" s="37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 ht="11.25" customHeight="1">
      <c r="A630" s="29"/>
      <c r="B630" s="37"/>
      <c r="C630" s="29"/>
      <c r="D630" s="29"/>
      <c r="E630" s="37"/>
      <c r="F630" s="37"/>
      <c r="G630" s="37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 ht="11.25" customHeight="1">
      <c r="A631" s="29"/>
      <c r="B631" s="37"/>
      <c r="C631" s="29"/>
      <c r="D631" s="29"/>
      <c r="E631" s="37"/>
      <c r="F631" s="37"/>
      <c r="G631" s="37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 ht="11.25" customHeight="1">
      <c r="A632" s="29"/>
      <c r="B632" s="37"/>
      <c r="C632" s="29"/>
      <c r="D632" s="29"/>
      <c r="E632" s="37"/>
      <c r="F632" s="37"/>
      <c r="G632" s="37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 ht="11.25" customHeight="1">
      <c r="A633" s="29"/>
      <c r="B633" s="37"/>
      <c r="C633" s="29"/>
      <c r="D633" s="29"/>
      <c r="E633" s="37"/>
      <c r="F633" s="37"/>
      <c r="G633" s="37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 ht="11.25" customHeight="1">
      <c r="A634" s="29"/>
      <c r="B634" s="37"/>
      <c r="C634" s="29"/>
      <c r="D634" s="29"/>
      <c r="E634" s="37"/>
      <c r="F634" s="37"/>
      <c r="G634" s="37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 ht="11.25" customHeight="1">
      <c r="A635" s="29"/>
      <c r="B635" s="37"/>
      <c r="C635" s="29"/>
      <c r="D635" s="29"/>
      <c r="E635" s="37"/>
      <c r="F635" s="37"/>
      <c r="G635" s="37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 ht="11.25" customHeight="1">
      <c r="A636" s="29"/>
      <c r="B636" s="37"/>
      <c r="C636" s="29"/>
      <c r="D636" s="29"/>
      <c r="E636" s="37"/>
      <c r="F636" s="37"/>
      <c r="G636" s="37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 ht="11.25" customHeight="1">
      <c r="A637" s="29"/>
      <c r="B637" s="37"/>
      <c r="C637" s="29"/>
      <c r="D637" s="29"/>
      <c r="E637" s="37"/>
      <c r="F637" s="37"/>
      <c r="G637" s="37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 ht="11.25" customHeight="1">
      <c r="A638" s="29"/>
      <c r="B638" s="37"/>
      <c r="C638" s="29"/>
      <c r="D638" s="29"/>
      <c r="E638" s="37"/>
      <c r="F638" s="37"/>
      <c r="G638" s="37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 ht="11.25" customHeight="1">
      <c r="A639" s="29"/>
      <c r="B639" s="37"/>
      <c r="C639" s="29"/>
      <c r="D639" s="29"/>
      <c r="E639" s="37"/>
      <c r="F639" s="37"/>
      <c r="G639" s="37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 ht="11.25" customHeight="1">
      <c r="A640" s="29"/>
      <c r="B640" s="37"/>
      <c r="C640" s="29"/>
      <c r="D640" s="29"/>
      <c r="E640" s="37"/>
      <c r="F640" s="37"/>
      <c r="G640" s="37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 ht="11.25" customHeight="1">
      <c r="A641" s="29"/>
      <c r="B641" s="37"/>
      <c r="C641" s="29"/>
      <c r="D641" s="29"/>
      <c r="E641" s="37"/>
      <c r="F641" s="37"/>
      <c r="G641" s="37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 ht="11.25" customHeight="1">
      <c r="A642" s="29"/>
      <c r="B642" s="37"/>
      <c r="C642" s="29"/>
      <c r="D642" s="29"/>
      <c r="E642" s="37"/>
      <c r="F642" s="37"/>
      <c r="G642" s="37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 ht="11.25" customHeight="1">
      <c r="A643" s="29"/>
      <c r="B643" s="37"/>
      <c r="C643" s="29"/>
      <c r="D643" s="29"/>
      <c r="E643" s="37"/>
      <c r="F643" s="37"/>
      <c r="G643" s="37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 ht="11.25" customHeight="1">
      <c r="A644" s="29"/>
      <c r="B644" s="37"/>
      <c r="C644" s="29"/>
      <c r="D644" s="29"/>
      <c r="E644" s="37"/>
      <c r="F644" s="37"/>
      <c r="G644" s="37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 ht="11.25" customHeight="1">
      <c r="A645" s="29"/>
      <c r="B645" s="37"/>
      <c r="C645" s="29"/>
      <c r="D645" s="29"/>
      <c r="E645" s="37"/>
      <c r="F645" s="37"/>
      <c r="G645" s="37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 ht="11.25" customHeight="1">
      <c r="A646" s="29"/>
      <c r="B646" s="37"/>
      <c r="C646" s="29"/>
      <c r="D646" s="29"/>
      <c r="E646" s="37"/>
      <c r="F646" s="37"/>
      <c r="G646" s="37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 ht="11.25" customHeight="1">
      <c r="A647" s="29"/>
      <c r="B647" s="37"/>
      <c r="C647" s="29"/>
      <c r="D647" s="29"/>
      <c r="E647" s="37"/>
      <c r="F647" s="37"/>
      <c r="G647" s="37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 ht="11.25" customHeight="1">
      <c r="A648" s="29"/>
      <c r="B648" s="37"/>
      <c r="C648" s="29"/>
      <c r="D648" s="29"/>
      <c r="E648" s="37"/>
      <c r="F648" s="37"/>
      <c r="G648" s="37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 ht="11.25" customHeight="1">
      <c r="A649" s="29"/>
      <c r="B649" s="37"/>
      <c r="C649" s="29"/>
      <c r="D649" s="29"/>
      <c r="E649" s="37"/>
      <c r="F649" s="37"/>
      <c r="G649" s="37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 ht="11.25" customHeight="1">
      <c r="A650" s="29"/>
      <c r="B650" s="37"/>
      <c r="C650" s="29"/>
      <c r="D650" s="29"/>
      <c r="E650" s="37"/>
      <c r="F650" s="37"/>
      <c r="G650" s="37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 ht="11.25" customHeight="1">
      <c r="A651" s="29"/>
      <c r="B651" s="37"/>
      <c r="C651" s="29"/>
      <c r="D651" s="29"/>
      <c r="E651" s="37"/>
      <c r="F651" s="37"/>
      <c r="G651" s="37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 ht="11.25" customHeight="1">
      <c r="A652" s="29"/>
      <c r="B652" s="37"/>
      <c r="C652" s="29"/>
      <c r="D652" s="29"/>
      <c r="E652" s="37"/>
      <c r="F652" s="37"/>
      <c r="G652" s="37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 ht="11.25" customHeight="1">
      <c r="A653" s="29"/>
      <c r="B653" s="37"/>
      <c r="C653" s="29"/>
      <c r="D653" s="29"/>
      <c r="E653" s="37"/>
      <c r="F653" s="37"/>
      <c r="G653" s="37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 ht="11.25" customHeight="1">
      <c r="A654" s="29"/>
      <c r="B654" s="37"/>
      <c r="C654" s="29"/>
      <c r="D654" s="29"/>
      <c r="E654" s="37"/>
      <c r="F654" s="37"/>
      <c r="G654" s="37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 ht="11.25" customHeight="1">
      <c r="A655" s="29"/>
      <c r="B655" s="37"/>
      <c r="C655" s="29"/>
      <c r="D655" s="29"/>
      <c r="E655" s="37"/>
      <c r="F655" s="37"/>
      <c r="G655" s="37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 ht="11.25" customHeight="1">
      <c r="A656" s="29"/>
      <c r="B656" s="37"/>
      <c r="C656" s="29"/>
      <c r="D656" s="29"/>
      <c r="E656" s="37"/>
      <c r="F656" s="37"/>
      <c r="G656" s="37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 ht="11.25" customHeight="1">
      <c r="A657" s="29"/>
      <c r="B657" s="37"/>
      <c r="C657" s="29"/>
      <c r="D657" s="29"/>
      <c r="E657" s="37"/>
      <c r="F657" s="37"/>
      <c r="G657" s="37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 ht="11.25" customHeight="1">
      <c r="A658" s="29"/>
      <c r="B658" s="37"/>
      <c r="C658" s="29"/>
      <c r="D658" s="29"/>
      <c r="E658" s="37"/>
      <c r="F658" s="37"/>
      <c r="G658" s="37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 ht="11.25" customHeight="1">
      <c r="A659" s="29"/>
      <c r="B659" s="37"/>
      <c r="C659" s="29"/>
      <c r="D659" s="29"/>
      <c r="E659" s="37"/>
      <c r="F659" s="37"/>
      <c r="G659" s="37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 ht="11.25" customHeight="1">
      <c r="A660" s="29"/>
      <c r="B660" s="37"/>
      <c r="C660" s="29"/>
      <c r="D660" s="29"/>
      <c r="E660" s="37"/>
      <c r="F660" s="37"/>
      <c r="G660" s="37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 ht="11.25" customHeight="1">
      <c r="A661" s="29"/>
      <c r="B661" s="37"/>
      <c r="C661" s="29"/>
      <c r="D661" s="29"/>
      <c r="E661" s="37"/>
      <c r="F661" s="37"/>
      <c r="G661" s="37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 ht="11.25" customHeight="1">
      <c r="A662" s="29"/>
      <c r="B662" s="37"/>
      <c r="C662" s="29"/>
      <c r="D662" s="29"/>
      <c r="E662" s="37"/>
      <c r="F662" s="37"/>
      <c r="G662" s="37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 ht="11.25" customHeight="1">
      <c r="A663" s="29"/>
      <c r="B663" s="37"/>
      <c r="C663" s="29"/>
      <c r="D663" s="29"/>
      <c r="E663" s="37"/>
      <c r="F663" s="37"/>
      <c r="G663" s="37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 ht="11.25" customHeight="1">
      <c r="A664" s="29"/>
      <c r="B664" s="37"/>
      <c r="C664" s="29"/>
      <c r="D664" s="29"/>
      <c r="E664" s="37"/>
      <c r="F664" s="37"/>
      <c r="G664" s="37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 ht="11.25" customHeight="1">
      <c r="A665" s="29"/>
      <c r="B665" s="37"/>
      <c r="C665" s="29"/>
      <c r="D665" s="29"/>
      <c r="E665" s="37"/>
      <c r="F665" s="37"/>
      <c r="G665" s="37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 ht="11.25" customHeight="1">
      <c r="A666" s="29"/>
      <c r="B666" s="37"/>
      <c r="C666" s="29"/>
      <c r="D666" s="29"/>
      <c r="E666" s="37"/>
      <c r="F666" s="37"/>
      <c r="G666" s="37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 ht="11.25" customHeight="1">
      <c r="A667" s="29"/>
      <c r="B667" s="37"/>
      <c r="C667" s="29"/>
      <c r="D667" s="29"/>
      <c r="E667" s="37"/>
      <c r="F667" s="37"/>
      <c r="G667" s="37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 ht="11.25" customHeight="1">
      <c r="A668" s="29"/>
      <c r="B668" s="37"/>
      <c r="C668" s="29"/>
      <c r="D668" s="29"/>
      <c r="E668" s="37"/>
      <c r="F668" s="37"/>
      <c r="G668" s="37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 ht="11.25" customHeight="1">
      <c r="A669" s="29"/>
      <c r="B669" s="37"/>
      <c r="C669" s="29"/>
      <c r="D669" s="29"/>
      <c r="E669" s="37"/>
      <c r="F669" s="37"/>
      <c r="G669" s="37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 ht="11.25" customHeight="1">
      <c r="A670" s="29"/>
      <c r="B670" s="37"/>
      <c r="C670" s="29"/>
      <c r="D670" s="29"/>
      <c r="E670" s="37"/>
      <c r="F670" s="37"/>
      <c r="G670" s="37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 ht="11.25" customHeight="1">
      <c r="A671" s="29"/>
      <c r="B671" s="37"/>
      <c r="C671" s="29"/>
      <c r="D671" s="29"/>
      <c r="E671" s="37"/>
      <c r="F671" s="37"/>
      <c r="G671" s="37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 ht="11.25" customHeight="1">
      <c r="A672" s="29"/>
      <c r="B672" s="37"/>
      <c r="C672" s="29"/>
      <c r="D672" s="29"/>
      <c r="E672" s="37"/>
      <c r="F672" s="37"/>
      <c r="G672" s="37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 ht="11.25" customHeight="1">
      <c r="A673" s="29"/>
      <c r="B673" s="37"/>
      <c r="C673" s="29"/>
      <c r="D673" s="29"/>
      <c r="E673" s="37"/>
      <c r="F673" s="37"/>
      <c r="G673" s="37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 ht="11.25" customHeight="1">
      <c r="A674" s="29"/>
      <c r="B674" s="37"/>
      <c r="C674" s="29"/>
      <c r="D674" s="29"/>
      <c r="E674" s="37"/>
      <c r="F674" s="37"/>
      <c r="G674" s="37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 ht="11.25" customHeight="1">
      <c r="A675" s="29"/>
      <c r="B675" s="37"/>
      <c r="C675" s="29"/>
      <c r="D675" s="29"/>
      <c r="E675" s="37"/>
      <c r="F675" s="37"/>
      <c r="G675" s="37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 ht="11.25" customHeight="1">
      <c r="A676" s="29"/>
      <c r="B676" s="37"/>
      <c r="C676" s="29"/>
      <c r="D676" s="29"/>
      <c r="E676" s="37"/>
      <c r="F676" s="37"/>
      <c r="G676" s="37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 ht="11.25" customHeight="1">
      <c r="A677" s="29"/>
      <c r="B677" s="37"/>
      <c r="C677" s="29"/>
      <c r="D677" s="29"/>
      <c r="E677" s="37"/>
      <c r="F677" s="37"/>
      <c r="G677" s="37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 ht="11.25" customHeight="1">
      <c r="A678" s="29"/>
      <c r="B678" s="37"/>
      <c r="C678" s="29"/>
      <c r="D678" s="29"/>
      <c r="E678" s="37"/>
      <c r="F678" s="37"/>
      <c r="G678" s="37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 ht="11.25" customHeight="1">
      <c r="A679" s="29"/>
      <c r="B679" s="37"/>
      <c r="C679" s="29"/>
      <c r="D679" s="29"/>
      <c r="E679" s="37"/>
      <c r="F679" s="37"/>
      <c r="G679" s="37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 ht="11.25" customHeight="1">
      <c r="A680" s="29"/>
      <c r="B680" s="37"/>
      <c r="C680" s="29"/>
      <c r="D680" s="29"/>
      <c r="E680" s="37"/>
      <c r="F680" s="37"/>
      <c r="G680" s="37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 ht="11.25" customHeight="1">
      <c r="A681" s="29"/>
      <c r="B681" s="37"/>
      <c r="C681" s="29"/>
      <c r="D681" s="29"/>
      <c r="E681" s="37"/>
      <c r="F681" s="37"/>
      <c r="G681" s="37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 ht="11.25" customHeight="1">
      <c r="A682" s="29"/>
      <c r="B682" s="37"/>
      <c r="C682" s="29"/>
      <c r="D682" s="29"/>
      <c r="E682" s="37"/>
      <c r="F682" s="37"/>
      <c r="G682" s="37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 ht="11.25" customHeight="1">
      <c r="A683" s="29"/>
      <c r="B683" s="37"/>
      <c r="C683" s="29"/>
      <c r="D683" s="29"/>
      <c r="E683" s="37"/>
      <c r="F683" s="37"/>
      <c r="G683" s="37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 ht="11.25" customHeight="1">
      <c r="A684" s="29"/>
      <c r="B684" s="37"/>
      <c r="C684" s="29"/>
      <c r="D684" s="29"/>
      <c r="E684" s="37"/>
      <c r="F684" s="37"/>
      <c r="G684" s="37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 ht="11.25" customHeight="1">
      <c r="A685" s="29"/>
      <c r="B685" s="37"/>
      <c r="C685" s="29"/>
      <c r="D685" s="29"/>
      <c r="E685" s="37"/>
      <c r="F685" s="37"/>
      <c r="G685" s="37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 ht="11.25" customHeight="1">
      <c r="A686" s="29"/>
      <c r="B686" s="37"/>
      <c r="C686" s="29"/>
      <c r="D686" s="29"/>
      <c r="E686" s="37"/>
      <c r="F686" s="37"/>
      <c r="G686" s="37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 ht="11.25" customHeight="1">
      <c r="A687" s="29"/>
      <c r="B687" s="37"/>
      <c r="C687" s="29"/>
      <c r="D687" s="29"/>
      <c r="E687" s="37"/>
      <c r="F687" s="37"/>
      <c r="G687" s="37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 ht="11.25" customHeight="1">
      <c r="A688" s="29"/>
      <c r="B688" s="37"/>
      <c r="C688" s="29"/>
      <c r="D688" s="29"/>
      <c r="E688" s="37"/>
      <c r="F688" s="37"/>
      <c r="G688" s="37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 ht="11.25" customHeight="1">
      <c r="A689" s="29"/>
      <c r="B689" s="37"/>
      <c r="C689" s="29"/>
      <c r="D689" s="29"/>
      <c r="E689" s="37"/>
      <c r="F689" s="37"/>
      <c r="G689" s="37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 ht="11.25" customHeight="1">
      <c r="A690" s="29"/>
      <c r="B690" s="37"/>
      <c r="C690" s="29"/>
      <c r="D690" s="29"/>
      <c r="E690" s="37"/>
      <c r="F690" s="37"/>
      <c r="G690" s="37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 ht="11.25" customHeight="1">
      <c r="A691" s="29"/>
      <c r="B691" s="37"/>
      <c r="C691" s="29"/>
      <c r="D691" s="29"/>
      <c r="E691" s="37"/>
      <c r="F691" s="37"/>
      <c r="G691" s="37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 ht="11.25" customHeight="1">
      <c r="A692" s="29"/>
      <c r="B692" s="37"/>
      <c r="C692" s="29"/>
      <c r="D692" s="29"/>
      <c r="E692" s="37"/>
      <c r="F692" s="37"/>
      <c r="G692" s="37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 ht="11.25" customHeight="1">
      <c r="A693" s="29"/>
      <c r="B693" s="37"/>
      <c r="C693" s="29"/>
      <c r="D693" s="29"/>
      <c r="E693" s="37"/>
      <c r="F693" s="37"/>
      <c r="G693" s="37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 ht="11.25" customHeight="1">
      <c r="A694" s="29"/>
      <c r="B694" s="37"/>
      <c r="C694" s="29"/>
      <c r="D694" s="29"/>
      <c r="E694" s="37"/>
      <c r="F694" s="37"/>
      <c r="G694" s="37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 ht="11.25" customHeight="1">
      <c r="A695" s="29"/>
      <c r="B695" s="37"/>
      <c r="C695" s="29"/>
      <c r="D695" s="29"/>
      <c r="E695" s="37"/>
      <c r="F695" s="37"/>
      <c r="G695" s="37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 ht="11.25" customHeight="1">
      <c r="A696" s="29"/>
      <c r="B696" s="37"/>
      <c r="C696" s="29"/>
      <c r="D696" s="29"/>
      <c r="E696" s="37"/>
      <c r="F696" s="37"/>
      <c r="G696" s="37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 ht="11.25" customHeight="1">
      <c r="A697" s="29"/>
      <c r="B697" s="37"/>
      <c r="C697" s="29"/>
      <c r="D697" s="29"/>
      <c r="E697" s="37"/>
      <c r="F697" s="37"/>
      <c r="G697" s="37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 ht="11.25" customHeight="1">
      <c r="A698" s="29"/>
      <c r="B698" s="37"/>
      <c r="C698" s="29"/>
      <c r="D698" s="29"/>
      <c r="E698" s="37"/>
      <c r="F698" s="37"/>
      <c r="G698" s="37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 ht="11.25" customHeight="1">
      <c r="A699" s="29"/>
      <c r="B699" s="37"/>
      <c r="C699" s="29"/>
      <c r="D699" s="29"/>
      <c r="E699" s="37"/>
      <c r="F699" s="37"/>
      <c r="G699" s="37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 ht="11.25" customHeight="1">
      <c r="A700" s="29"/>
      <c r="B700" s="37"/>
      <c r="C700" s="29"/>
      <c r="D700" s="29"/>
      <c r="E700" s="37"/>
      <c r="F700" s="37"/>
      <c r="G700" s="37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 ht="11.25" customHeight="1">
      <c r="A701" s="29"/>
      <c r="B701" s="37"/>
      <c r="C701" s="29"/>
      <c r="D701" s="29"/>
      <c r="E701" s="37"/>
      <c r="F701" s="37"/>
      <c r="G701" s="37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 ht="11.25" customHeight="1">
      <c r="A702" s="29"/>
      <c r="B702" s="37"/>
      <c r="C702" s="29"/>
      <c r="D702" s="29"/>
      <c r="E702" s="37"/>
      <c r="F702" s="37"/>
      <c r="G702" s="37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 ht="11.25" customHeight="1">
      <c r="A703" s="29"/>
      <c r="B703" s="37"/>
      <c r="C703" s="29"/>
      <c r="D703" s="29"/>
      <c r="E703" s="37"/>
      <c r="F703" s="37"/>
      <c r="G703" s="37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 ht="11.25" customHeight="1">
      <c r="A704" s="29"/>
      <c r="B704" s="37"/>
      <c r="C704" s="29"/>
      <c r="D704" s="29"/>
      <c r="E704" s="37"/>
      <c r="F704" s="37"/>
      <c r="G704" s="37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 ht="11.25" customHeight="1">
      <c r="A705" s="29"/>
      <c r="B705" s="37"/>
      <c r="C705" s="29"/>
      <c r="D705" s="29"/>
      <c r="E705" s="37"/>
      <c r="F705" s="37"/>
      <c r="G705" s="37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 ht="11.25" customHeight="1">
      <c r="A706" s="29"/>
      <c r="B706" s="37"/>
      <c r="C706" s="29"/>
      <c r="D706" s="29"/>
      <c r="E706" s="37"/>
      <c r="F706" s="37"/>
      <c r="G706" s="37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 ht="11.25" customHeight="1">
      <c r="A707" s="29"/>
      <c r="B707" s="37"/>
      <c r="C707" s="29"/>
      <c r="D707" s="29"/>
      <c r="E707" s="37"/>
      <c r="F707" s="37"/>
      <c r="G707" s="37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 ht="11.25" customHeight="1">
      <c r="A708" s="29"/>
      <c r="B708" s="37"/>
      <c r="C708" s="29"/>
      <c r="D708" s="29"/>
      <c r="E708" s="37"/>
      <c r="F708" s="37"/>
      <c r="G708" s="37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 ht="11.25" customHeight="1">
      <c r="A709" s="29"/>
      <c r="B709" s="37"/>
      <c r="C709" s="29"/>
      <c r="D709" s="29"/>
      <c r="E709" s="37"/>
      <c r="F709" s="37"/>
      <c r="G709" s="37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 ht="11.25" customHeight="1">
      <c r="A710" s="29"/>
      <c r="B710" s="37"/>
      <c r="C710" s="29"/>
      <c r="D710" s="29"/>
      <c r="E710" s="37"/>
      <c r="F710" s="37"/>
      <c r="G710" s="37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 ht="11.25" customHeight="1">
      <c r="A711" s="29"/>
      <c r="B711" s="37"/>
      <c r="C711" s="29"/>
      <c r="D711" s="29"/>
      <c r="E711" s="37"/>
      <c r="F711" s="37"/>
      <c r="G711" s="37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 ht="11.25" customHeight="1">
      <c r="A712" s="29"/>
      <c r="B712" s="37"/>
      <c r="C712" s="29"/>
      <c r="D712" s="29"/>
      <c r="E712" s="37"/>
      <c r="F712" s="37"/>
      <c r="G712" s="37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 ht="11.25" customHeight="1">
      <c r="A713" s="29"/>
      <c r="B713" s="37"/>
      <c r="C713" s="29"/>
      <c r="D713" s="29"/>
      <c r="E713" s="37"/>
      <c r="F713" s="37"/>
      <c r="G713" s="37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 ht="11.25" customHeight="1">
      <c r="A714" s="29"/>
      <c r="B714" s="37"/>
      <c r="C714" s="29"/>
      <c r="D714" s="29"/>
      <c r="E714" s="37"/>
      <c r="F714" s="37"/>
      <c r="G714" s="37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 ht="11.25" customHeight="1">
      <c r="A715" s="29"/>
      <c r="B715" s="37"/>
      <c r="C715" s="29"/>
      <c r="D715" s="29"/>
      <c r="E715" s="37"/>
      <c r="F715" s="37"/>
      <c r="G715" s="37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 ht="11.25" customHeight="1">
      <c r="A716" s="29"/>
      <c r="B716" s="37"/>
      <c r="C716" s="29"/>
      <c r="D716" s="29"/>
      <c r="E716" s="37"/>
      <c r="F716" s="37"/>
      <c r="G716" s="37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 ht="11.25" customHeight="1">
      <c r="A717" s="29"/>
      <c r="B717" s="37"/>
      <c r="C717" s="29"/>
      <c r="D717" s="29"/>
      <c r="E717" s="37"/>
      <c r="F717" s="37"/>
      <c r="G717" s="37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 ht="11.25" customHeight="1">
      <c r="A718" s="29"/>
      <c r="B718" s="37"/>
      <c r="C718" s="29"/>
      <c r="D718" s="29"/>
      <c r="E718" s="37"/>
      <c r="F718" s="37"/>
      <c r="G718" s="37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 ht="11.25" customHeight="1">
      <c r="A719" s="29"/>
      <c r="B719" s="37"/>
      <c r="C719" s="29"/>
      <c r="D719" s="29"/>
      <c r="E719" s="37"/>
      <c r="F719" s="37"/>
      <c r="G719" s="37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 ht="11.25" customHeight="1">
      <c r="A720" s="29"/>
      <c r="B720" s="37"/>
      <c r="C720" s="29"/>
      <c r="D720" s="29"/>
      <c r="E720" s="37"/>
      <c r="F720" s="37"/>
      <c r="G720" s="37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 ht="11.25" customHeight="1">
      <c r="A721" s="29"/>
      <c r="B721" s="37"/>
      <c r="C721" s="29"/>
      <c r="D721" s="29"/>
      <c r="E721" s="37"/>
      <c r="F721" s="37"/>
      <c r="G721" s="37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 ht="11.25" customHeight="1">
      <c r="A722" s="29"/>
      <c r="B722" s="37"/>
      <c r="C722" s="29"/>
      <c r="D722" s="29"/>
      <c r="E722" s="37"/>
      <c r="F722" s="37"/>
      <c r="G722" s="37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 ht="11.25" customHeight="1">
      <c r="A723" s="29"/>
      <c r="B723" s="37"/>
      <c r="C723" s="29"/>
      <c r="D723" s="29"/>
      <c r="E723" s="37"/>
      <c r="F723" s="37"/>
      <c r="G723" s="37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 ht="11.25" customHeight="1">
      <c r="A724" s="29"/>
      <c r="B724" s="37"/>
      <c r="C724" s="29"/>
      <c r="D724" s="29"/>
      <c r="E724" s="37"/>
      <c r="F724" s="37"/>
      <c r="G724" s="37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 ht="11.25" customHeight="1">
      <c r="A725" s="29"/>
      <c r="B725" s="37"/>
      <c r="C725" s="29"/>
      <c r="D725" s="29"/>
      <c r="E725" s="37"/>
      <c r="F725" s="37"/>
      <c r="G725" s="37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 ht="11.25" customHeight="1">
      <c r="A726" s="29"/>
      <c r="B726" s="37"/>
      <c r="C726" s="29"/>
      <c r="D726" s="29"/>
      <c r="E726" s="37"/>
      <c r="F726" s="37"/>
      <c r="G726" s="37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 ht="11.25" customHeight="1">
      <c r="A727" s="29"/>
      <c r="B727" s="37"/>
      <c r="C727" s="29"/>
      <c r="D727" s="29"/>
      <c r="E727" s="37"/>
      <c r="F727" s="37"/>
      <c r="G727" s="37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 ht="11.25" customHeight="1">
      <c r="A728" s="29"/>
      <c r="B728" s="37"/>
      <c r="C728" s="29"/>
      <c r="D728" s="29"/>
      <c r="E728" s="37"/>
      <c r="F728" s="37"/>
      <c r="G728" s="37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 ht="11.25" customHeight="1">
      <c r="A729" s="29"/>
      <c r="B729" s="37"/>
      <c r="C729" s="29"/>
      <c r="D729" s="29"/>
      <c r="E729" s="37"/>
      <c r="F729" s="37"/>
      <c r="G729" s="37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 ht="11.25" customHeight="1">
      <c r="A730" s="29"/>
      <c r="B730" s="37"/>
      <c r="C730" s="29"/>
      <c r="D730" s="29"/>
      <c r="E730" s="37"/>
      <c r="F730" s="37"/>
      <c r="G730" s="37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 ht="11.25" customHeight="1">
      <c r="A731" s="29"/>
      <c r="B731" s="37"/>
      <c r="C731" s="29"/>
      <c r="D731" s="29"/>
      <c r="E731" s="37"/>
      <c r="F731" s="37"/>
      <c r="G731" s="37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 ht="11.25" customHeight="1">
      <c r="A732" s="29"/>
      <c r="B732" s="37"/>
      <c r="C732" s="29"/>
      <c r="D732" s="29"/>
      <c r="E732" s="37"/>
      <c r="F732" s="37"/>
      <c r="G732" s="37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 ht="11.25" customHeight="1">
      <c r="A733" s="29"/>
      <c r="B733" s="37"/>
      <c r="C733" s="29"/>
      <c r="D733" s="29"/>
      <c r="E733" s="37"/>
      <c r="F733" s="37"/>
      <c r="G733" s="37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 ht="11.25" customHeight="1">
      <c r="A734" s="29"/>
      <c r="B734" s="37"/>
      <c r="C734" s="29"/>
      <c r="D734" s="29"/>
      <c r="E734" s="37"/>
      <c r="F734" s="37"/>
      <c r="G734" s="37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 ht="11.25" customHeight="1">
      <c r="A735" s="29"/>
      <c r="B735" s="37"/>
      <c r="C735" s="29"/>
      <c r="D735" s="29"/>
      <c r="E735" s="37"/>
      <c r="F735" s="37"/>
      <c r="G735" s="37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 ht="11.25" customHeight="1">
      <c r="A736" s="29"/>
      <c r="B736" s="37"/>
      <c r="C736" s="29"/>
      <c r="D736" s="29"/>
      <c r="E736" s="37"/>
      <c r="F736" s="37"/>
      <c r="G736" s="37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 ht="11.25" customHeight="1">
      <c r="A737" s="29"/>
      <c r="B737" s="37"/>
      <c r="C737" s="29"/>
      <c r="D737" s="29"/>
      <c r="E737" s="37"/>
      <c r="F737" s="37"/>
      <c r="G737" s="37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 ht="11.25" customHeight="1">
      <c r="A738" s="29"/>
      <c r="B738" s="37"/>
      <c r="C738" s="29"/>
      <c r="D738" s="29"/>
      <c r="E738" s="37"/>
      <c r="F738" s="37"/>
      <c r="G738" s="37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 ht="11.25" customHeight="1">
      <c r="A739" s="29"/>
      <c r="B739" s="37"/>
      <c r="C739" s="29"/>
      <c r="D739" s="29"/>
      <c r="E739" s="37"/>
      <c r="F739" s="37"/>
      <c r="G739" s="37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 ht="11.25" customHeight="1">
      <c r="A740" s="29"/>
      <c r="B740" s="37"/>
      <c r="C740" s="29"/>
      <c r="D740" s="29"/>
      <c r="E740" s="37"/>
      <c r="F740" s="37"/>
      <c r="G740" s="37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 ht="11.25" customHeight="1">
      <c r="A741" s="29"/>
      <c r="B741" s="37"/>
      <c r="C741" s="29"/>
      <c r="D741" s="29"/>
      <c r="E741" s="37"/>
      <c r="F741" s="37"/>
      <c r="G741" s="37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 ht="11.25" customHeight="1">
      <c r="A742" s="29"/>
      <c r="B742" s="37"/>
      <c r="C742" s="29"/>
      <c r="D742" s="29"/>
      <c r="E742" s="37"/>
      <c r="F742" s="37"/>
      <c r="G742" s="37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 ht="11.25" customHeight="1">
      <c r="A743" s="29"/>
      <c r="B743" s="37"/>
      <c r="C743" s="29"/>
      <c r="D743" s="29"/>
      <c r="E743" s="37"/>
      <c r="F743" s="37"/>
      <c r="G743" s="37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 ht="11.25" customHeight="1">
      <c r="A744" s="29"/>
      <c r="B744" s="37"/>
      <c r="C744" s="29"/>
      <c r="D744" s="29"/>
      <c r="E744" s="37"/>
      <c r="F744" s="37"/>
      <c r="G744" s="37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 ht="11.25" customHeight="1">
      <c r="A745" s="29"/>
      <c r="B745" s="37"/>
      <c r="C745" s="29"/>
      <c r="D745" s="29"/>
      <c r="E745" s="37"/>
      <c r="F745" s="37"/>
      <c r="G745" s="37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 ht="11.25" customHeight="1">
      <c r="A746" s="29"/>
      <c r="B746" s="37"/>
      <c r="C746" s="29"/>
      <c r="D746" s="29"/>
      <c r="E746" s="37"/>
      <c r="F746" s="37"/>
      <c r="G746" s="37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 ht="11.25" customHeight="1">
      <c r="A747" s="29"/>
      <c r="B747" s="37"/>
      <c r="C747" s="29"/>
      <c r="D747" s="29"/>
      <c r="E747" s="37"/>
      <c r="F747" s="37"/>
      <c r="G747" s="37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 ht="11.25" customHeight="1">
      <c r="A748" s="29"/>
      <c r="B748" s="37"/>
      <c r="C748" s="29"/>
      <c r="D748" s="29"/>
      <c r="E748" s="37"/>
      <c r="F748" s="37"/>
      <c r="G748" s="37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 ht="11.25" customHeight="1">
      <c r="A749" s="29"/>
      <c r="B749" s="37"/>
      <c r="C749" s="29"/>
      <c r="D749" s="29"/>
      <c r="E749" s="37"/>
      <c r="F749" s="37"/>
      <c r="G749" s="37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 ht="11.25" customHeight="1">
      <c r="A750" s="29"/>
      <c r="B750" s="37"/>
      <c r="C750" s="29"/>
      <c r="D750" s="29"/>
      <c r="E750" s="37"/>
      <c r="F750" s="37"/>
      <c r="G750" s="37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 ht="11.25" customHeight="1">
      <c r="A751" s="29"/>
      <c r="B751" s="37"/>
      <c r="C751" s="29"/>
      <c r="D751" s="29"/>
      <c r="E751" s="37"/>
      <c r="F751" s="37"/>
      <c r="G751" s="37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 ht="11.25" customHeight="1">
      <c r="A752" s="29"/>
      <c r="B752" s="37"/>
      <c r="C752" s="29"/>
      <c r="D752" s="29"/>
      <c r="E752" s="37"/>
      <c r="F752" s="37"/>
      <c r="G752" s="37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 ht="11.25" customHeight="1">
      <c r="A753" s="29"/>
      <c r="B753" s="37"/>
      <c r="C753" s="29"/>
      <c r="D753" s="29"/>
      <c r="E753" s="37"/>
      <c r="F753" s="37"/>
      <c r="G753" s="37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 ht="11.25" customHeight="1">
      <c r="A754" s="29"/>
      <c r="B754" s="37"/>
      <c r="C754" s="29"/>
      <c r="D754" s="29"/>
      <c r="E754" s="37"/>
      <c r="F754" s="37"/>
      <c r="G754" s="37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 ht="11.25" customHeight="1">
      <c r="A755" s="29"/>
      <c r="B755" s="37"/>
      <c r="C755" s="29"/>
      <c r="D755" s="29"/>
      <c r="E755" s="37"/>
      <c r="F755" s="37"/>
      <c r="G755" s="37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 ht="11.25" customHeight="1">
      <c r="A756" s="29"/>
      <c r="B756" s="37"/>
      <c r="C756" s="29"/>
      <c r="D756" s="29"/>
      <c r="E756" s="37"/>
      <c r="F756" s="37"/>
      <c r="G756" s="37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 ht="11.25" customHeight="1">
      <c r="A757" s="29"/>
      <c r="B757" s="37"/>
      <c r="C757" s="29"/>
      <c r="D757" s="29"/>
      <c r="E757" s="37"/>
      <c r="F757" s="37"/>
      <c r="G757" s="37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 ht="11.25" customHeight="1">
      <c r="A758" s="29"/>
      <c r="B758" s="37"/>
      <c r="C758" s="29"/>
      <c r="D758" s="29"/>
      <c r="E758" s="37"/>
      <c r="F758" s="37"/>
      <c r="G758" s="37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 ht="11.25" customHeight="1">
      <c r="A759" s="29"/>
      <c r="B759" s="37"/>
      <c r="C759" s="29"/>
      <c r="D759" s="29"/>
      <c r="E759" s="37"/>
      <c r="F759" s="37"/>
      <c r="G759" s="37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 ht="11.25" customHeight="1">
      <c r="A760" s="29"/>
      <c r="B760" s="37"/>
      <c r="C760" s="29"/>
      <c r="D760" s="29"/>
      <c r="E760" s="37"/>
      <c r="F760" s="37"/>
      <c r="G760" s="37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 ht="11.25" customHeight="1">
      <c r="A761" s="29"/>
      <c r="B761" s="37"/>
      <c r="C761" s="29"/>
      <c r="D761" s="29"/>
      <c r="E761" s="37"/>
      <c r="F761" s="37"/>
      <c r="G761" s="37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 ht="11.25" customHeight="1">
      <c r="A762" s="29"/>
      <c r="B762" s="37"/>
      <c r="C762" s="29"/>
      <c r="D762" s="29"/>
      <c r="E762" s="37"/>
      <c r="F762" s="37"/>
      <c r="G762" s="37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 ht="11.25" customHeight="1">
      <c r="A763" s="29"/>
      <c r="B763" s="37"/>
      <c r="C763" s="29"/>
      <c r="D763" s="29"/>
      <c r="E763" s="37"/>
      <c r="F763" s="37"/>
      <c r="G763" s="37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 ht="11.25" customHeight="1">
      <c r="A764" s="29"/>
      <c r="B764" s="37"/>
      <c r="C764" s="29"/>
      <c r="D764" s="29"/>
      <c r="E764" s="37"/>
      <c r="F764" s="37"/>
      <c r="G764" s="37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 ht="11.25" customHeight="1">
      <c r="A765" s="29"/>
      <c r="B765" s="37"/>
      <c r="C765" s="29"/>
      <c r="D765" s="29"/>
      <c r="E765" s="37"/>
      <c r="F765" s="37"/>
      <c r="G765" s="37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 ht="11.25" customHeight="1">
      <c r="A766" s="29"/>
      <c r="B766" s="37"/>
      <c r="C766" s="29"/>
      <c r="D766" s="29"/>
      <c r="E766" s="37"/>
      <c r="F766" s="37"/>
      <c r="G766" s="37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 ht="11.25" customHeight="1">
      <c r="A767" s="29"/>
      <c r="B767" s="37"/>
      <c r="C767" s="29"/>
      <c r="D767" s="29"/>
      <c r="E767" s="37"/>
      <c r="F767" s="37"/>
      <c r="G767" s="37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 ht="11.25" customHeight="1">
      <c r="A768" s="29"/>
      <c r="B768" s="37"/>
      <c r="C768" s="29"/>
      <c r="D768" s="29"/>
      <c r="E768" s="37"/>
      <c r="F768" s="37"/>
      <c r="G768" s="37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 ht="11.25" customHeight="1">
      <c r="A769" s="29"/>
      <c r="B769" s="37"/>
      <c r="C769" s="29"/>
      <c r="D769" s="29"/>
      <c r="E769" s="37"/>
      <c r="F769" s="37"/>
      <c r="G769" s="37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 ht="11.25" customHeight="1">
      <c r="A770" s="29"/>
      <c r="B770" s="37"/>
      <c r="C770" s="29"/>
      <c r="D770" s="29"/>
      <c r="E770" s="37"/>
      <c r="F770" s="37"/>
      <c r="G770" s="37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 ht="11.25" customHeight="1">
      <c r="A771" s="29"/>
      <c r="B771" s="37"/>
      <c r="C771" s="29"/>
      <c r="D771" s="29"/>
      <c r="E771" s="37"/>
      <c r="F771" s="37"/>
      <c r="G771" s="37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 ht="11.25" customHeight="1">
      <c r="A772" s="29"/>
      <c r="B772" s="37"/>
      <c r="C772" s="29"/>
      <c r="D772" s="29"/>
      <c r="E772" s="37"/>
      <c r="F772" s="37"/>
      <c r="G772" s="37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 ht="11.25" customHeight="1">
      <c r="A773" s="29"/>
      <c r="B773" s="37"/>
      <c r="C773" s="29"/>
      <c r="D773" s="29"/>
      <c r="E773" s="37"/>
      <c r="F773" s="37"/>
      <c r="G773" s="37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 ht="11.25" customHeight="1">
      <c r="A774" s="29"/>
      <c r="B774" s="37"/>
      <c r="C774" s="29"/>
      <c r="D774" s="29"/>
      <c r="E774" s="37"/>
      <c r="F774" s="37"/>
      <c r="G774" s="37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 ht="11.25" customHeight="1">
      <c r="A775" s="29"/>
      <c r="B775" s="37"/>
      <c r="C775" s="29"/>
      <c r="D775" s="29"/>
      <c r="E775" s="37"/>
      <c r="F775" s="37"/>
      <c r="G775" s="37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 ht="11.25" customHeight="1">
      <c r="A776" s="29"/>
      <c r="B776" s="37"/>
      <c r="C776" s="29"/>
      <c r="D776" s="29"/>
      <c r="E776" s="37"/>
      <c r="F776" s="37"/>
      <c r="G776" s="37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 ht="11.25" customHeight="1">
      <c r="A777" s="29"/>
      <c r="B777" s="37"/>
      <c r="C777" s="29"/>
      <c r="D777" s="29"/>
      <c r="E777" s="37"/>
      <c r="F777" s="37"/>
      <c r="G777" s="37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 ht="11.25" customHeight="1">
      <c r="A778" s="29"/>
      <c r="B778" s="37"/>
      <c r="C778" s="29"/>
      <c r="D778" s="29"/>
      <c r="E778" s="37"/>
      <c r="F778" s="37"/>
      <c r="G778" s="37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 ht="11.25" customHeight="1">
      <c r="A779" s="29"/>
      <c r="B779" s="37"/>
      <c r="C779" s="29"/>
      <c r="D779" s="29"/>
      <c r="E779" s="37"/>
      <c r="F779" s="37"/>
      <c r="G779" s="37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 ht="11.25" customHeight="1">
      <c r="A780" s="29"/>
      <c r="B780" s="37"/>
      <c r="C780" s="29"/>
      <c r="D780" s="29"/>
      <c r="E780" s="37"/>
      <c r="F780" s="37"/>
      <c r="G780" s="37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 ht="11.25" customHeight="1">
      <c r="A781" s="29"/>
      <c r="B781" s="37"/>
      <c r="C781" s="29"/>
      <c r="D781" s="29"/>
      <c r="E781" s="37"/>
      <c r="F781" s="37"/>
      <c r="G781" s="37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 ht="11.25" customHeight="1">
      <c r="A782" s="29"/>
      <c r="B782" s="37"/>
      <c r="C782" s="29"/>
      <c r="D782" s="29"/>
      <c r="E782" s="37"/>
      <c r="F782" s="37"/>
      <c r="G782" s="37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 ht="11.25" customHeight="1">
      <c r="A783" s="29"/>
      <c r="B783" s="37"/>
      <c r="C783" s="29"/>
      <c r="D783" s="29"/>
      <c r="E783" s="37"/>
      <c r="F783" s="37"/>
      <c r="G783" s="37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 ht="11.25" customHeight="1">
      <c r="A784" s="29"/>
      <c r="B784" s="37"/>
      <c r="C784" s="29"/>
      <c r="D784" s="29"/>
      <c r="E784" s="37"/>
      <c r="F784" s="37"/>
      <c r="G784" s="37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 ht="11.25" customHeight="1">
      <c r="A785" s="29"/>
      <c r="B785" s="37"/>
      <c r="C785" s="29"/>
      <c r="D785" s="29"/>
      <c r="E785" s="37"/>
      <c r="F785" s="37"/>
      <c r="G785" s="37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 ht="11.25" customHeight="1">
      <c r="A786" s="29"/>
      <c r="B786" s="37"/>
      <c r="C786" s="29"/>
      <c r="D786" s="29"/>
      <c r="E786" s="37"/>
      <c r="F786" s="37"/>
      <c r="G786" s="37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 ht="11.25" customHeight="1">
      <c r="A787" s="29"/>
      <c r="B787" s="37"/>
      <c r="C787" s="29"/>
      <c r="D787" s="29"/>
      <c r="E787" s="37"/>
      <c r="F787" s="37"/>
      <c r="G787" s="37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 ht="11.25" customHeight="1">
      <c r="A788" s="29"/>
      <c r="B788" s="37"/>
      <c r="C788" s="29"/>
      <c r="D788" s="29"/>
      <c r="E788" s="37"/>
      <c r="F788" s="37"/>
      <c r="G788" s="37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 ht="11.25" customHeight="1">
      <c r="A789" s="29"/>
      <c r="B789" s="37"/>
      <c r="C789" s="29"/>
      <c r="D789" s="29"/>
      <c r="E789" s="37"/>
      <c r="F789" s="37"/>
      <c r="G789" s="37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 ht="11.25" customHeight="1">
      <c r="A790" s="29"/>
      <c r="B790" s="37"/>
      <c r="C790" s="29"/>
      <c r="D790" s="29"/>
      <c r="E790" s="37"/>
      <c r="F790" s="37"/>
      <c r="G790" s="37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 ht="11.25" customHeight="1">
      <c r="A791" s="29"/>
      <c r="B791" s="37"/>
      <c r="C791" s="29"/>
      <c r="D791" s="29"/>
      <c r="E791" s="37"/>
      <c r="F791" s="37"/>
      <c r="G791" s="37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 ht="11.25" customHeight="1">
      <c r="A792" s="29"/>
      <c r="B792" s="37"/>
      <c r="C792" s="29"/>
      <c r="D792" s="29"/>
      <c r="E792" s="37"/>
      <c r="F792" s="37"/>
      <c r="G792" s="37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 ht="11.25" customHeight="1">
      <c r="A793" s="29"/>
      <c r="B793" s="37"/>
      <c r="C793" s="29"/>
      <c r="D793" s="29"/>
      <c r="E793" s="37"/>
      <c r="F793" s="37"/>
      <c r="G793" s="37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 ht="11.25" customHeight="1">
      <c r="A794" s="29"/>
      <c r="B794" s="37"/>
      <c r="C794" s="29"/>
      <c r="D794" s="29"/>
      <c r="E794" s="37"/>
      <c r="F794" s="37"/>
      <c r="G794" s="37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 ht="11.25" customHeight="1">
      <c r="A795" s="29"/>
      <c r="B795" s="37"/>
      <c r="C795" s="29"/>
      <c r="D795" s="29"/>
      <c r="E795" s="37"/>
      <c r="F795" s="37"/>
      <c r="G795" s="37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 ht="11.25" customHeight="1">
      <c r="A796" s="29"/>
      <c r="B796" s="37"/>
      <c r="C796" s="29"/>
      <c r="D796" s="29"/>
      <c r="E796" s="37"/>
      <c r="F796" s="37"/>
      <c r="G796" s="37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 ht="11.25" customHeight="1">
      <c r="A797" s="29"/>
      <c r="B797" s="37"/>
      <c r="C797" s="29"/>
      <c r="D797" s="29"/>
      <c r="E797" s="37"/>
      <c r="F797" s="37"/>
      <c r="G797" s="37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 ht="11.25" customHeight="1">
      <c r="A798" s="29"/>
      <c r="B798" s="37"/>
      <c r="C798" s="29"/>
      <c r="D798" s="29"/>
      <c r="E798" s="37"/>
      <c r="F798" s="37"/>
      <c r="G798" s="37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 ht="11.25" customHeight="1">
      <c r="A799" s="29"/>
      <c r="B799" s="37"/>
      <c r="C799" s="29"/>
      <c r="D799" s="29"/>
      <c r="E799" s="37"/>
      <c r="F799" s="37"/>
      <c r="G799" s="37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 ht="11.25" customHeight="1">
      <c r="A800" s="29"/>
      <c r="B800" s="37"/>
      <c r="C800" s="29"/>
      <c r="D800" s="29"/>
      <c r="E800" s="37"/>
      <c r="F800" s="37"/>
      <c r="G800" s="37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 ht="11.25" customHeight="1">
      <c r="A801" s="29"/>
      <c r="B801" s="37"/>
      <c r="C801" s="29"/>
      <c r="D801" s="29"/>
      <c r="E801" s="37"/>
      <c r="F801" s="37"/>
      <c r="G801" s="37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 ht="11.25" customHeight="1">
      <c r="A802" s="29"/>
      <c r="B802" s="37"/>
      <c r="C802" s="29"/>
      <c r="D802" s="29"/>
      <c r="E802" s="37"/>
      <c r="F802" s="37"/>
      <c r="G802" s="37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 ht="11.25" customHeight="1">
      <c r="A803" s="29"/>
      <c r="B803" s="37"/>
      <c r="C803" s="29"/>
      <c r="D803" s="29"/>
      <c r="E803" s="37"/>
      <c r="F803" s="37"/>
      <c r="G803" s="37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 ht="11.25" customHeight="1">
      <c r="A804" s="29"/>
      <c r="B804" s="37"/>
      <c r="C804" s="29"/>
      <c r="D804" s="29"/>
      <c r="E804" s="37"/>
      <c r="F804" s="37"/>
      <c r="G804" s="37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 ht="11.25" customHeight="1">
      <c r="A805" s="29"/>
      <c r="B805" s="37"/>
      <c r="C805" s="29"/>
      <c r="D805" s="29"/>
      <c r="E805" s="37"/>
      <c r="F805" s="37"/>
      <c r="G805" s="37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 ht="11.25" customHeight="1">
      <c r="A806" s="29"/>
      <c r="B806" s="37"/>
      <c r="C806" s="29"/>
      <c r="D806" s="29"/>
      <c r="E806" s="37"/>
      <c r="F806" s="37"/>
      <c r="G806" s="37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 ht="11.25" customHeight="1">
      <c r="A807" s="29"/>
      <c r="B807" s="37"/>
      <c r="C807" s="29"/>
      <c r="D807" s="29"/>
      <c r="E807" s="37"/>
      <c r="F807" s="37"/>
      <c r="G807" s="37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 ht="11.25" customHeight="1">
      <c r="A808" s="29"/>
      <c r="B808" s="37"/>
      <c r="C808" s="29"/>
      <c r="D808" s="29"/>
      <c r="E808" s="37"/>
      <c r="F808" s="37"/>
      <c r="G808" s="37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 ht="11.25" customHeight="1">
      <c r="A809" s="29"/>
      <c r="B809" s="37"/>
      <c r="C809" s="29"/>
      <c r="D809" s="29"/>
      <c r="E809" s="37"/>
      <c r="F809" s="37"/>
      <c r="G809" s="37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 ht="11.25" customHeight="1">
      <c r="A810" s="29"/>
      <c r="B810" s="37"/>
      <c r="C810" s="29"/>
      <c r="D810" s="29"/>
      <c r="E810" s="37"/>
      <c r="F810" s="37"/>
      <c r="G810" s="37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 ht="11.25" customHeight="1">
      <c r="A811" s="29"/>
      <c r="B811" s="37"/>
      <c r="C811" s="29"/>
      <c r="D811" s="29"/>
      <c r="E811" s="37"/>
      <c r="F811" s="37"/>
      <c r="G811" s="37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 ht="11.25" customHeight="1">
      <c r="A812" s="29"/>
      <c r="B812" s="37"/>
      <c r="C812" s="29"/>
      <c r="D812" s="29"/>
      <c r="E812" s="37"/>
      <c r="F812" s="37"/>
      <c r="G812" s="37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 ht="11.25" customHeight="1">
      <c r="A813" s="29"/>
      <c r="B813" s="37"/>
      <c r="C813" s="29"/>
      <c r="D813" s="29"/>
      <c r="E813" s="37"/>
      <c r="F813" s="37"/>
      <c r="G813" s="37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 ht="11.25" customHeight="1">
      <c r="A814" s="29"/>
      <c r="B814" s="37"/>
      <c r="C814" s="29"/>
      <c r="D814" s="29"/>
      <c r="E814" s="37"/>
      <c r="F814" s="37"/>
      <c r="G814" s="37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 ht="11.25" customHeight="1">
      <c r="A815" s="29"/>
      <c r="B815" s="37"/>
      <c r="C815" s="29"/>
      <c r="D815" s="29"/>
      <c r="E815" s="37"/>
      <c r="F815" s="37"/>
      <c r="G815" s="37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 ht="11.25" customHeight="1">
      <c r="A816" s="29"/>
      <c r="B816" s="37"/>
      <c r="C816" s="29"/>
      <c r="D816" s="29"/>
      <c r="E816" s="37"/>
      <c r="F816" s="37"/>
      <c r="G816" s="37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 ht="11.25" customHeight="1">
      <c r="A817" s="29"/>
      <c r="B817" s="37"/>
      <c r="C817" s="29"/>
      <c r="D817" s="29"/>
      <c r="E817" s="37"/>
      <c r="F817" s="37"/>
      <c r="G817" s="37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 ht="11.25" customHeight="1">
      <c r="A818" s="29"/>
      <c r="B818" s="37"/>
      <c r="C818" s="29"/>
      <c r="D818" s="29"/>
      <c r="E818" s="37"/>
      <c r="F818" s="37"/>
      <c r="G818" s="37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 ht="11.25" customHeight="1">
      <c r="A819" s="29"/>
      <c r="B819" s="37"/>
      <c r="C819" s="29"/>
      <c r="D819" s="29"/>
      <c r="E819" s="37"/>
      <c r="F819" s="37"/>
      <c r="G819" s="37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 ht="11.25" customHeight="1">
      <c r="A820" s="29"/>
      <c r="B820" s="37"/>
      <c r="C820" s="29"/>
      <c r="D820" s="29"/>
      <c r="E820" s="37"/>
      <c r="F820" s="37"/>
      <c r="G820" s="37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 ht="11.25" customHeight="1">
      <c r="A821" s="29"/>
      <c r="B821" s="37"/>
      <c r="C821" s="29"/>
      <c r="D821" s="29"/>
      <c r="E821" s="37"/>
      <c r="F821" s="37"/>
      <c r="G821" s="37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 ht="11.25" customHeight="1">
      <c r="A822" s="29"/>
      <c r="B822" s="37"/>
      <c r="C822" s="29"/>
      <c r="D822" s="29"/>
      <c r="E822" s="37"/>
      <c r="F822" s="37"/>
      <c r="G822" s="37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 ht="11.25" customHeight="1">
      <c r="A823" s="29"/>
      <c r="B823" s="37"/>
      <c r="C823" s="29"/>
      <c r="D823" s="29"/>
      <c r="E823" s="37"/>
      <c r="F823" s="37"/>
      <c r="G823" s="37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 ht="11.25" customHeight="1">
      <c r="A824" s="29"/>
      <c r="B824" s="37"/>
      <c r="C824" s="29"/>
      <c r="D824" s="29"/>
      <c r="E824" s="37"/>
      <c r="F824" s="37"/>
      <c r="G824" s="37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 ht="11.25" customHeight="1">
      <c r="A825" s="29"/>
      <c r="B825" s="37"/>
      <c r="C825" s="29"/>
      <c r="D825" s="29"/>
      <c r="E825" s="37"/>
      <c r="F825" s="37"/>
      <c r="G825" s="37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 ht="11.25" customHeight="1">
      <c r="A826" s="29"/>
      <c r="B826" s="37"/>
      <c r="C826" s="29"/>
      <c r="D826" s="29"/>
      <c r="E826" s="37"/>
      <c r="F826" s="37"/>
      <c r="G826" s="37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 ht="11.25" customHeight="1">
      <c r="A827" s="29"/>
      <c r="B827" s="37"/>
      <c r="C827" s="29"/>
      <c r="D827" s="29"/>
      <c r="E827" s="37"/>
      <c r="F827" s="37"/>
      <c r="G827" s="37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 ht="11.25" customHeight="1">
      <c r="A828" s="29"/>
      <c r="B828" s="37"/>
      <c r="C828" s="29"/>
      <c r="D828" s="29"/>
      <c r="E828" s="37"/>
      <c r="F828" s="37"/>
      <c r="G828" s="37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 ht="11.25" customHeight="1">
      <c r="A829" s="29"/>
      <c r="B829" s="37"/>
      <c r="C829" s="29"/>
      <c r="D829" s="29"/>
      <c r="E829" s="37"/>
      <c r="F829" s="37"/>
      <c r="G829" s="37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 ht="11.25" customHeight="1">
      <c r="A830" s="29"/>
      <c r="B830" s="37"/>
      <c r="C830" s="29"/>
      <c r="D830" s="29"/>
      <c r="E830" s="37"/>
      <c r="F830" s="37"/>
      <c r="G830" s="37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 ht="11.25" customHeight="1">
      <c r="A831" s="29"/>
      <c r="B831" s="37"/>
      <c r="C831" s="29"/>
      <c r="D831" s="29"/>
      <c r="E831" s="37"/>
      <c r="F831" s="37"/>
      <c r="G831" s="37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 ht="11.25" customHeight="1">
      <c r="A832" s="29"/>
      <c r="B832" s="37"/>
      <c r="C832" s="29"/>
      <c r="D832" s="29"/>
      <c r="E832" s="37"/>
      <c r="F832" s="37"/>
      <c r="G832" s="37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 ht="11.25" customHeight="1">
      <c r="A833" s="29"/>
      <c r="B833" s="37"/>
      <c r="C833" s="29"/>
      <c r="D833" s="29"/>
      <c r="E833" s="37"/>
      <c r="F833" s="37"/>
      <c r="G833" s="37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 ht="11.25" customHeight="1">
      <c r="A834" s="29"/>
      <c r="B834" s="37"/>
      <c r="C834" s="29"/>
      <c r="D834" s="29"/>
      <c r="E834" s="37"/>
      <c r="F834" s="37"/>
      <c r="G834" s="37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</row>
    <row r="835" ht="11.25" customHeight="1">
      <c r="A835" s="29"/>
      <c r="B835" s="37"/>
      <c r="C835" s="29"/>
      <c r="D835" s="29"/>
      <c r="E835" s="37"/>
      <c r="F835" s="37"/>
      <c r="G835" s="37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 ht="11.25" customHeight="1">
      <c r="A836" s="29"/>
      <c r="B836" s="37"/>
      <c r="C836" s="29"/>
      <c r="D836" s="29"/>
      <c r="E836" s="37"/>
      <c r="F836" s="37"/>
      <c r="G836" s="37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</row>
    <row r="837" ht="11.25" customHeight="1">
      <c r="A837" s="29"/>
      <c r="B837" s="37"/>
      <c r="C837" s="29"/>
      <c r="D837" s="29"/>
      <c r="E837" s="37"/>
      <c r="F837" s="37"/>
      <c r="G837" s="37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</row>
    <row r="838" ht="11.25" customHeight="1">
      <c r="A838" s="29"/>
      <c r="B838" s="37"/>
      <c r="C838" s="29"/>
      <c r="D838" s="29"/>
      <c r="E838" s="37"/>
      <c r="F838" s="37"/>
      <c r="G838" s="37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 ht="11.25" customHeight="1">
      <c r="A839" s="29"/>
      <c r="B839" s="37"/>
      <c r="C839" s="29"/>
      <c r="D839" s="29"/>
      <c r="E839" s="37"/>
      <c r="F839" s="37"/>
      <c r="G839" s="37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  <row r="840" ht="11.25" customHeight="1">
      <c r="A840" s="29"/>
      <c r="B840" s="37"/>
      <c r="C840" s="29"/>
      <c r="D840" s="29"/>
      <c r="E840" s="37"/>
      <c r="F840" s="37"/>
      <c r="G840" s="37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</row>
    <row r="841" ht="11.25" customHeight="1">
      <c r="A841" s="29"/>
      <c r="B841" s="37"/>
      <c r="C841" s="29"/>
      <c r="D841" s="29"/>
      <c r="E841" s="37"/>
      <c r="F841" s="37"/>
      <c r="G841" s="37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</row>
    <row r="842" ht="11.25" customHeight="1">
      <c r="A842" s="29"/>
      <c r="B842" s="37"/>
      <c r="C842" s="29"/>
      <c r="D842" s="29"/>
      <c r="E842" s="37"/>
      <c r="F842" s="37"/>
      <c r="G842" s="37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 ht="11.25" customHeight="1">
      <c r="A843" s="29"/>
      <c r="B843" s="37"/>
      <c r="C843" s="29"/>
      <c r="D843" s="29"/>
      <c r="E843" s="37"/>
      <c r="F843" s="37"/>
      <c r="G843" s="37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</row>
    <row r="844" ht="11.25" customHeight="1">
      <c r="A844" s="29"/>
      <c r="B844" s="37"/>
      <c r="C844" s="29"/>
      <c r="D844" s="29"/>
      <c r="E844" s="37"/>
      <c r="F844" s="37"/>
      <c r="G844" s="37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</row>
    <row r="845" ht="11.25" customHeight="1">
      <c r="A845" s="29"/>
      <c r="B845" s="37"/>
      <c r="C845" s="29"/>
      <c r="D845" s="29"/>
      <c r="E845" s="37"/>
      <c r="F845" s="37"/>
      <c r="G845" s="37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</row>
    <row r="846" ht="11.25" customHeight="1">
      <c r="A846" s="29"/>
      <c r="B846" s="37"/>
      <c r="C846" s="29"/>
      <c r="D846" s="29"/>
      <c r="E846" s="37"/>
      <c r="F846" s="37"/>
      <c r="G846" s="37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</row>
    <row r="847" ht="11.25" customHeight="1">
      <c r="A847" s="29"/>
      <c r="B847" s="37"/>
      <c r="C847" s="29"/>
      <c r="D847" s="29"/>
      <c r="E847" s="37"/>
      <c r="F847" s="37"/>
      <c r="G847" s="37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</row>
    <row r="848" ht="11.25" customHeight="1">
      <c r="A848" s="29"/>
      <c r="B848" s="37"/>
      <c r="C848" s="29"/>
      <c r="D848" s="29"/>
      <c r="E848" s="37"/>
      <c r="F848" s="37"/>
      <c r="G848" s="37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</row>
    <row r="849" ht="11.25" customHeight="1">
      <c r="A849" s="29"/>
      <c r="B849" s="37"/>
      <c r="C849" s="29"/>
      <c r="D849" s="29"/>
      <c r="E849" s="37"/>
      <c r="F849" s="37"/>
      <c r="G849" s="37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</row>
    <row r="850" ht="11.25" customHeight="1">
      <c r="A850" s="29"/>
      <c r="B850" s="37"/>
      <c r="C850" s="29"/>
      <c r="D850" s="29"/>
      <c r="E850" s="37"/>
      <c r="F850" s="37"/>
      <c r="G850" s="37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</row>
    <row r="851" ht="11.25" customHeight="1">
      <c r="A851" s="29"/>
      <c r="B851" s="37"/>
      <c r="C851" s="29"/>
      <c r="D851" s="29"/>
      <c r="E851" s="37"/>
      <c r="F851" s="37"/>
      <c r="G851" s="37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 ht="11.25" customHeight="1">
      <c r="A852" s="29"/>
      <c r="B852" s="37"/>
      <c r="C852" s="29"/>
      <c r="D852" s="29"/>
      <c r="E852" s="37"/>
      <c r="F852" s="37"/>
      <c r="G852" s="37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 ht="11.25" customHeight="1">
      <c r="A853" s="29"/>
      <c r="B853" s="37"/>
      <c r="C853" s="29"/>
      <c r="D853" s="29"/>
      <c r="E853" s="37"/>
      <c r="F853" s="37"/>
      <c r="G853" s="37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</row>
    <row r="854" ht="11.25" customHeight="1">
      <c r="A854" s="29"/>
      <c r="B854" s="37"/>
      <c r="C854" s="29"/>
      <c r="D854" s="29"/>
      <c r="E854" s="37"/>
      <c r="F854" s="37"/>
      <c r="G854" s="37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 ht="11.25" customHeight="1">
      <c r="A855" s="29"/>
      <c r="B855" s="37"/>
      <c r="C855" s="29"/>
      <c r="D855" s="29"/>
      <c r="E855" s="37"/>
      <c r="F855" s="37"/>
      <c r="G855" s="37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 ht="11.25" customHeight="1">
      <c r="A856" s="29"/>
      <c r="B856" s="37"/>
      <c r="C856" s="29"/>
      <c r="D856" s="29"/>
      <c r="E856" s="37"/>
      <c r="F856" s="37"/>
      <c r="G856" s="37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 ht="11.25" customHeight="1">
      <c r="A857" s="29"/>
      <c r="B857" s="37"/>
      <c r="C857" s="29"/>
      <c r="D857" s="29"/>
      <c r="E857" s="37"/>
      <c r="F857" s="37"/>
      <c r="G857" s="37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</row>
    <row r="858" ht="11.25" customHeight="1">
      <c r="A858" s="29"/>
      <c r="B858" s="37"/>
      <c r="C858" s="29"/>
      <c r="D858" s="29"/>
      <c r="E858" s="37"/>
      <c r="F858" s="37"/>
      <c r="G858" s="37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 ht="11.25" customHeight="1">
      <c r="A859" s="29"/>
      <c r="B859" s="37"/>
      <c r="C859" s="29"/>
      <c r="D859" s="29"/>
      <c r="E859" s="37"/>
      <c r="F859" s="37"/>
      <c r="G859" s="37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 ht="11.25" customHeight="1">
      <c r="A860" s="29"/>
      <c r="B860" s="37"/>
      <c r="C860" s="29"/>
      <c r="D860" s="29"/>
      <c r="E860" s="37"/>
      <c r="F860" s="37"/>
      <c r="G860" s="37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 ht="11.25" customHeight="1">
      <c r="A861" s="29"/>
      <c r="B861" s="37"/>
      <c r="C861" s="29"/>
      <c r="D861" s="29"/>
      <c r="E861" s="37"/>
      <c r="F861" s="37"/>
      <c r="G861" s="37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 ht="11.25" customHeight="1">
      <c r="A862" s="29"/>
      <c r="B862" s="37"/>
      <c r="C862" s="29"/>
      <c r="D862" s="29"/>
      <c r="E862" s="37"/>
      <c r="F862" s="37"/>
      <c r="G862" s="37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 ht="11.25" customHeight="1">
      <c r="A863" s="29"/>
      <c r="B863" s="37"/>
      <c r="C863" s="29"/>
      <c r="D863" s="29"/>
      <c r="E863" s="37"/>
      <c r="F863" s="37"/>
      <c r="G863" s="37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 ht="11.25" customHeight="1">
      <c r="A864" s="29"/>
      <c r="B864" s="37"/>
      <c r="C864" s="29"/>
      <c r="D864" s="29"/>
      <c r="E864" s="37"/>
      <c r="F864" s="37"/>
      <c r="G864" s="37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 ht="11.25" customHeight="1">
      <c r="A865" s="29"/>
      <c r="B865" s="37"/>
      <c r="C865" s="29"/>
      <c r="D865" s="29"/>
      <c r="E865" s="37"/>
      <c r="F865" s="37"/>
      <c r="G865" s="37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 ht="11.25" customHeight="1">
      <c r="A866" s="29"/>
      <c r="B866" s="37"/>
      <c r="C866" s="29"/>
      <c r="D866" s="29"/>
      <c r="E866" s="37"/>
      <c r="F866" s="37"/>
      <c r="G866" s="37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 ht="11.25" customHeight="1">
      <c r="A867" s="29"/>
      <c r="B867" s="37"/>
      <c r="C867" s="29"/>
      <c r="D867" s="29"/>
      <c r="E867" s="37"/>
      <c r="F867" s="37"/>
      <c r="G867" s="37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 ht="11.25" customHeight="1">
      <c r="A868" s="29"/>
      <c r="B868" s="37"/>
      <c r="C868" s="29"/>
      <c r="D868" s="29"/>
      <c r="E868" s="37"/>
      <c r="F868" s="37"/>
      <c r="G868" s="37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 ht="11.25" customHeight="1">
      <c r="A869" s="29"/>
      <c r="B869" s="37"/>
      <c r="C869" s="29"/>
      <c r="D869" s="29"/>
      <c r="E869" s="37"/>
      <c r="F869" s="37"/>
      <c r="G869" s="37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 ht="11.25" customHeight="1">
      <c r="A870" s="29"/>
      <c r="B870" s="37"/>
      <c r="C870" s="29"/>
      <c r="D870" s="29"/>
      <c r="E870" s="37"/>
      <c r="F870" s="37"/>
      <c r="G870" s="37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 ht="11.25" customHeight="1">
      <c r="A871" s="29"/>
      <c r="B871" s="37"/>
      <c r="C871" s="29"/>
      <c r="D871" s="29"/>
      <c r="E871" s="37"/>
      <c r="F871" s="37"/>
      <c r="G871" s="37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 ht="11.25" customHeight="1">
      <c r="A872" s="29"/>
      <c r="B872" s="37"/>
      <c r="C872" s="29"/>
      <c r="D872" s="29"/>
      <c r="E872" s="37"/>
      <c r="F872" s="37"/>
      <c r="G872" s="37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 ht="11.25" customHeight="1">
      <c r="A873" s="29"/>
      <c r="B873" s="37"/>
      <c r="C873" s="29"/>
      <c r="D873" s="29"/>
      <c r="E873" s="37"/>
      <c r="F873" s="37"/>
      <c r="G873" s="37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 ht="11.25" customHeight="1">
      <c r="A874" s="29"/>
      <c r="B874" s="37"/>
      <c r="C874" s="29"/>
      <c r="D874" s="29"/>
      <c r="E874" s="37"/>
      <c r="F874" s="37"/>
      <c r="G874" s="37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 ht="11.25" customHeight="1">
      <c r="A875" s="29"/>
      <c r="B875" s="37"/>
      <c r="C875" s="29"/>
      <c r="D875" s="29"/>
      <c r="E875" s="37"/>
      <c r="F875" s="37"/>
      <c r="G875" s="37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 ht="11.25" customHeight="1">
      <c r="A876" s="29"/>
      <c r="B876" s="37"/>
      <c r="C876" s="29"/>
      <c r="D876" s="29"/>
      <c r="E876" s="37"/>
      <c r="F876" s="37"/>
      <c r="G876" s="37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 ht="11.25" customHeight="1">
      <c r="A877" s="29"/>
      <c r="B877" s="37"/>
      <c r="C877" s="29"/>
      <c r="D877" s="29"/>
      <c r="E877" s="37"/>
      <c r="F877" s="37"/>
      <c r="G877" s="37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 ht="11.25" customHeight="1">
      <c r="A878" s="29"/>
      <c r="B878" s="37"/>
      <c r="C878" s="29"/>
      <c r="D878" s="29"/>
      <c r="E878" s="37"/>
      <c r="F878" s="37"/>
      <c r="G878" s="37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 ht="11.25" customHeight="1">
      <c r="A879" s="29"/>
      <c r="B879" s="37"/>
      <c r="C879" s="29"/>
      <c r="D879" s="29"/>
      <c r="E879" s="37"/>
      <c r="F879" s="37"/>
      <c r="G879" s="37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 ht="11.25" customHeight="1">
      <c r="A880" s="29"/>
      <c r="B880" s="37"/>
      <c r="C880" s="29"/>
      <c r="D880" s="29"/>
      <c r="E880" s="37"/>
      <c r="F880" s="37"/>
      <c r="G880" s="37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 ht="11.25" customHeight="1">
      <c r="A881" s="29"/>
      <c r="B881" s="37"/>
      <c r="C881" s="29"/>
      <c r="D881" s="29"/>
      <c r="E881" s="37"/>
      <c r="F881" s="37"/>
      <c r="G881" s="37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 ht="11.25" customHeight="1">
      <c r="A882" s="29"/>
      <c r="B882" s="37"/>
      <c r="C882" s="29"/>
      <c r="D882" s="29"/>
      <c r="E882" s="37"/>
      <c r="F882" s="37"/>
      <c r="G882" s="37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  <row r="883" ht="11.25" customHeight="1">
      <c r="A883" s="29"/>
      <c r="B883" s="37"/>
      <c r="C883" s="29"/>
      <c r="D883" s="29"/>
      <c r="E883" s="37"/>
      <c r="F883" s="37"/>
      <c r="G883" s="37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 ht="11.25" customHeight="1">
      <c r="A884" s="29"/>
      <c r="B884" s="37"/>
      <c r="C884" s="29"/>
      <c r="D884" s="29"/>
      <c r="E884" s="37"/>
      <c r="F884" s="37"/>
      <c r="G884" s="37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 ht="11.25" customHeight="1">
      <c r="A885" s="29"/>
      <c r="B885" s="37"/>
      <c r="C885" s="29"/>
      <c r="D885" s="29"/>
      <c r="E885" s="37"/>
      <c r="F885" s="37"/>
      <c r="G885" s="37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 ht="11.25" customHeight="1">
      <c r="A886" s="29"/>
      <c r="B886" s="37"/>
      <c r="C886" s="29"/>
      <c r="D886" s="29"/>
      <c r="E886" s="37"/>
      <c r="F886" s="37"/>
      <c r="G886" s="37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 ht="11.25" customHeight="1">
      <c r="A887" s="29"/>
      <c r="B887" s="37"/>
      <c r="C887" s="29"/>
      <c r="D887" s="29"/>
      <c r="E887" s="37"/>
      <c r="F887" s="37"/>
      <c r="G887" s="37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 ht="11.25" customHeight="1">
      <c r="A888" s="29"/>
      <c r="B888" s="37"/>
      <c r="C888" s="29"/>
      <c r="D888" s="29"/>
      <c r="E888" s="37"/>
      <c r="F888" s="37"/>
      <c r="G888" s="37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  <row r="889" ht="11.25" customHeight="1">
      <c r="A889" s="29"/>
      <c r="B889" s="37"/>
      <c r="C889" s="29"/>
      <c r="D889" s="29"/>
      <c r="E889" s="37"/>
      <c r="F889" s="37"/>
      <c r="G889" s="37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</row>
    <row r="890" ht="11.25" customHeight="1">
      <c r="A890" s="29"/>
      <c r="B890" s="37"/>
      <c r="C890" s="29"/>
      <c r="D890" s="29"/>
      <c r="E890" s="37"/>
      <c r="F890" s="37"/>
      <c r="G890" s="37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</row>
    <row r="891" ht="11.25" customHeight="1">
      <c r="A891" s="29"/>
      <c r="B891" s="37"/>
      <c r="C891" s="29"/>
      <c r="D891" s="29"/>
      <c r="E891" s="37"/>
      <c r="F891" s="37"/>
      <c r="G891" s="37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</row>
    <row r="892" ht="11.25" customHeight="1">
      <c r="A892" s="29"/>
      <c r="B892" s="37"/>
      <c r="C892" s="29"/>
      <c r="D892" s="29"/>
      <c r="E892" s="37"/>
      <c r="F892" s="37"/>
      <c r="G892" s="37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</row>
    <row r="893" ht="11.25" customHeight="1">
      <c r="A893" s="29"/>
      <c r="B893" s="37"/>
      <c r="C893" s="29"/>
      <c r="D893" s="29"/>
      <c r="E893" s="37"/>
      <c r="F893" s="37"/>
      <c r="G893" s="37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</row>
    <row r="894" ht="11.25" customHeight="1">
      <c r="A894" s="29"/>
      <c r="B894" s="37"/>
      <c r="C894" s="29"/>
      <c r="D894" s="29"/>
      <c r="E894" s="37"/>
      <c r="F894" s="37"/>
      <c r="G894" s="37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</row>
    <row r="895" ht="11.25" customHeight="1">
      <c r="A895" s="29"/>
      <c r="B895" s="37"/>
      <c r="C895" s="29"/>
      <c r="D895" s="29"/>
      <c r="E895" s="37"/>
      <c r="F895" s="37"/>
      <c r="G895" s="37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</row>
    <row r="896" ht="11.25" customHeight="1">
      <c r="A896" s="29"/>
      <c r="B896" s="37"/>
      <c r="C896" s="29"/>
      <c r="D896" s="29"/>
      <c r="E896" s="37"/>
      <c r="F896" s="37"/>
      <c r="G896" s="37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</row>
    <row r="897" ht="11.25" customHeight="1">
      <c r="A897" s="29"/>
      <c r="B897" s="37"/>
      <c r="C897" s="29"/>
      <c r="D897" s="29"/>
      <c r="E897" s="37"/>
      <c r="F897" s="37"/>
      <c r="G897" s="37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</row>
    <row r="898" ht="11.25" customHeight="1">
      <c r="A898" s="29"/>
      <c r="B898" s="37"/>
      <c r="C898" s="29"/>
      <c r="D898" s="29"/>
      <c r="E898" s="37"/>
      <c r="F898" s="37"/>
      <c r="G898" s="37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</row>
    <row r="899" ht="11.25" customHeight="1">
      <c r="A899" s="29"/>
      <c r="B899" s="37"/>
      <c r="C899" s="29"/>
      <c r="D899" s="29"/>
      <c r="E899" s="37"/>
      <c r="F899" s="37"/>
      <c r="G899" s="37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</row>
    <row r="900" ht="11.25" customHeight="1">
      <c r="A900" s="29"/>
      <c r="B900" s="37"/>
      <c r="C900" s="29"/>
      <c r="D900" s="29"/>
      <c r="E900" s="37"/>
      <c r="F900" s="37"/>
      <c r="G900" s="37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</row>
    <row r="901" ht="11.25" customHeight="1">
      <c r="A901" s="29"/>
      <c r="B901" s="37"/>
      <c r="C901" s="29"/>
      <c r="D901" s="29"/>
      <c r="E901" s="37"/>
      <c r="F901" s="37"/>
      <c r="G901" s="37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</row>
    <row r="902" ht="11.25" customHeight="1">
      <c r="A902" s="29"/>
      <c r="B902" s="37"/>
      <c r="C902" s="29"/>
      <c r="D902" s="29"/>
      <c r="E902" s="37"/>
      <c r="F902" s="37"/>
      <c r="G902" s="37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</row>
    <row r="903" ht="11.25" customHeight="1">
      <c r="A903" s="29"/>
      <c r="B903" s="37"/>
      <c r="C903" s="29"/>
      <c r="D903" s="29"/>
      <c r="E903" s="37"/>
      <c r="F903" s="37"/>
      <c r="G903" s="37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</row>
    <row r="904" ht="11.25" customHeight="1">
      <c r="A904" s="29"/>
      <c r="B904" s="37"/>
      <c r="C904" s="29"/>
      <c r="D904" s="29"/>
      <c r="E904" s="37"/>
      <c r="F904" s="37"/>
      <c r="G904" s="37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</row>
    <row r="905" ht="11.25" customHeight="1">
      <c r="A905" s="29"/>
      <c r="B905" s="37"/>
      <c r="C905" s="29"/>
      <c r="D905" s="29"/>
      <c r="E905" s="37"/>
      <c r="F905" s="37"/>
      <c r="G905" s="37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</row>
    <row r="906" ht="11.25" customHeight="1">
      <c r="A906" s="29"/>
      <c r="B906" s="37"/>
      <c r="C906" s="29"/>
      <c r="D906" s="29"/>
      <c r="E906" s="37"/>
      <c r="F906" s="37"/>
      <c r="G906" s="37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</row>
    <row r="907" ht="11.25" customHeight="1">
      <c r="A907" s="29"/>
      <c r="B907" s="37"/>
      <c r="C907" s="29"/>
      <c r="D907" s="29"/>
      <c r="E907" s="37"/>
      <c r="F907" s="37"/>
      <c r="G907" s="37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</row>
    <row r="908" ht="11.25" customHeight="1">
      <c r="A908" s="29"/>
      <c r="B908" s="37"/>
      <c r="C908" s="29"/>
      <c r="D908" s="29"/>
      <c r="E908" s="37"/>
      <c r="F908" s="37"/>
      <c r="G908" s="37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</row>
    <row r="909" ht="11.25" customHeight="1">
      <c r="A909" s="29"/>
      <c r="B909" s="37"/>
      <c r="C909" s="29"/>
      <c r="D909" s="29"/>
      <c r="E909" s="37"/>
      <c r="F909" s="37"/>
      <c r="G909" s="37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</row>
    <row r="910" ht="11.25" customHeight="1">
      <c r="A910" s="29"/>
      <c r="B910" s="37"/>
      <c r="C910" s="29"/>
      <c r="D910" s="29"/>
      <c r="E910" s="37"/>
      <c r="F910" s="37"/>
      <c r="G910" s="37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</row>
    <row r="911" ht="11.25" customHeight="1">
      <c r="A911" s="29"/>
      <c r="B911" s="37"/>
      <c r="C911" s="29"/>
      <c r="D911" s="29"/>
      <c r="E911" s="37"/>
      <c r="F911" s="37"/>
      <c r="G911" s="37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</row>
    <row r="912" ht="11.25" customHeight="1">
      <c r="A912" s="29"/>
      <c r="B912" s="37"/>
      <c r="C912" s="29"/>
      <c r="D912" s="29"/>
      <c r="E912" s="37"/>
      <c r="F912" s="37"/>
      <c r="G912" s="37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</row>
    <row r="913" ht="11.25" customHeight="1">
      <c r="A913" s="29"/>
      <c r="B913" s="37"/>
      <c r="C913" s="29"/>
      <c r="D913" s="29"/>
      <c r="E913" s="37"/>
      <c r="F913" s="37"/>
      <c r="G913" s="37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</row>
    <row r="914" ht="11.25" customHeight="1">
      <c r="A914" s="29"/>
      <c r="B914" s="37"/>
      <c r="C914" s="29"/>
      <c r="D914" s="29"/>
      <c r="E914" s="37"/>
      <c r="F914" s="37"/>
      <c r="G914" s="37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</row>
    <row r="915" ht="11.25" customHeight="1">
      <c r="A915" s="29"/>
      <c r="B915" s="37"/>
      <c r="C915" s="29"/>
      <c r="D915" s="29"/>
      <c r="E915" s="37"/>
      <c r="F915" s="37"/>
      <c r="G915" s="37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</row>
    <row r="916" ht="11.25" customHeight="1">
      <c r="A916" s="29"/>
      <c r="B916" s="37"/>
      <c r="C916" s="29"/>
      <c r="D916" s="29"/>
      <c r="E916" s="37"/>
      <c r="F916" s="37"/>
      <c r="G916" s="37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</row>
    <row r="917" ht="11.25" customHeight="1">
      <c r="A917" s="29"/>
      <c r="B917" s="37"/>
      <c r="C917" s="29"/>
      <c r="D917" s="29"/>
      <c r="E917" s="37"/>
      <c r="F917" s="37"/>
      <c r="G917" s="37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</row>
    <row r="918" ht="11.25" customHeight="1">
      <c r="A918" s="29"/>
      <c r="B918" s="37"/>
      <c r="C918" s="29"/>
      <c r="D918" s="29"/>
      <c r="E918" s="37"/>
      <c r="F918" s="37"/>
      <c r="G918" s="37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</row>
    <row r="919" ht="11.25" customHeight="1">
      <c r="A919" s="29"/>
      <c r="B919" s="37"/>
      <c r="C919" s="29"/>
      <c r="D919" s="29"/>
      <c r="E919" s="37"/>
      <c r="F919" s="37"/>
      <c r="G919" s="37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</row>
    <row r="920" ht="11.25" customHeight="1">
      <c r="A920" s="29"/>
      <c r="B920" s="37"/>
      <c r="C920" s="29"/>
      <c r="D920" s="29"/>
      <c r="E920" s="37"/>
      <c r="F920" s="37"/>
      <c r="G920" s="37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</row>
    <row r="921" ht="11.25" customHeight="1">
      <c r="A921" s="29"/>
      <c r="B921" s="37"/>
      <c r="C921" s="29"/>
      <c r="D921" s="29"/>
      <c r="E921" s="37"/>
      <c r="F921" s="37"/>
      <c r="G921" s="37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</row>
    <row r="922" ht="11.25" customHeight="1">
      <c r="A922" s="29"/>
      <c r="B922" s="37"/>
      <c r="C922" s="29"/>
      <c r="D922" s="29"/>
      <c r="E922" s="37"/>
      <c r="F922" s="37"/>
      <c r="G922" s="37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</row>
    <row r="923" ht="11.25" customHeight="1">
      <c r="A923" s="29"/>
      <c r="B923" s="37"/>
      <c r="C923" s="29"/>
      <c r="D923" s="29"/>
      <c r="E923" s="37"/>
      <c r="F923" s="37"/>
      <c r="G923" s="37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</row>
    <row r="924" ht="11.25" customHeight="1">
      <c r="A924" s="29"/>
      <c r="B924" s="37"/>
      <c r="C924" s="29"/>
      <c r="D924" s="29"/>
      <c r="E924" s="37"/>
      <c r="F924" s="37"/>
      <c r="G924" s="37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</row>
    <row r="925" ht="11.25" customHeight="1">
      <c r="A925" s="29"/>
      <c r="B925" s="37"/>
      <c r="C925" s="29"/>
      <c r="D925" s="29"/>
      <c r="E925" s="37"/>
      <c r="F925" s="37"/>
      <c r="G925" s="37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</row>
    <row r="926" ht="11.25" customHeight="1">
      <c r="A926" s="29"/>
      <c r="B926" s="37"/>
      <c r="C926" s="29"/>
      <c r="D926" s="29"/>
      <c r="E926" s="37"/>
      <c r="F926" s="37"/>
      <c r="G926" s="37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</row>
    <row r="927" ht="11.25" customHeight="1">
      <c r="A927" s="29"/>
      <c r="B927" s="37"/>
      <c r="C927" s="29"/>
      <c r="D927" s="29"/>
      <c r="E927" s="37"/>
      <c r="F927" s="37"/>
      <c r="G927" s="37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</row>
    <row r="928" ht="11.25" customHeight="1">
      <c r="A928" s="29"/>
      <c r="B928" s="37"/>
      <c r="C928" s="29"/>
      <c r="D928" s="29"/>
      <c r="E928" s="37"/>
      <c r="F928" s="37"/>
      <c r="G928" s="37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</row>
    <row r="929" ht="11.25" customHeight="1">
      <c r="A929" s="29"/>
      <c r="B929" s="37"/>
      <c r="C929" s="29"/>
      <c r="D929" s="29"/>
      <c r="E929" s="37"/>
      <c r="F929" s="37"/>
      <c r="G929" s="37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</row>
    <row r="930" ht="11.25" customHeight="1">
      <c r="A930" s="29"/>
      <c r="B930" s="37"/>
      <c r="C930" s="29"/>
      <c r="D930" s="29"/>
      <c r="E930" s="37"/>
      <c r="F930" s="37"/>
      <c r="G930" s="37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</row>
    <row r="931" ht="11.25" customHeight="1">
      <c r="A931" s="29"/>
      <c r="B931" s="37"/>
      <c r="C931" s="29"/>
      <c r="D931" s="29"/>
      <c r="E931" s="37"/>
      <c r="F931" s="37"/>
      <c r="G931" s="37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</row>
    <row r="932" ht="11.25" customHeight="1">
      <c r="A932" s="29"/>
      <c r="B932" s="37"/>
      <c r="C932" s="29"/>
      <c r="D932" s="29"/>
      <c r="E932" s="37"/>
      <c r="F932" s="37"/>
      <c r="G932" s="37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</row>
    <row r="933" ht="11.25" customHeight="1">
      <c r="A933" s="29"/>
      <c r="B933" s="37"/>
      <c r="C933" s="29"/>
      <c r="D933" s="29"/>
      <c r="E933" s="37"/>
      <c r="F933" s="37"/>
      <c r="G933" s="37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</row>
    <row r="934" ht="11.25" customHeight="1">
      <c r="A934" s="29"/>
      <c r="B934" s="37"/>
      <c r="C934" s="29"/>
      <c r="D934" s="29"/>
      <c r="E934" s="37"/>
      <c r="F934" s="37"/>
      <c r="G934" s="37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</row>
    <row r="935" ht="11.25" customHeight="1">
      <c r="A935" s="29"/>
      <c r="B935" s="37"/>
      <c r="C935" s="29"/>
      <c r="D935" s="29"/>
      <c r="E935" s="37"/>
      <c r="F935" s="37"/>
      <c r="G935" s="37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</row>
    <row r="936" ht="11.25" customHeight="1">
      <c r="A936" s="29"/>
      <c r="B936" s="37"/>
      <c r="C936" s="29"/>
      <c r="D936" s="29"/>
      <c r="E936" s="37"/>
      <c r="F936" s="37"/>
      <c r="G936" s="37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</row>
    <row r="937" ht="11.25" customHeight="1">
      <c r="A937" s="29"/>
      <c r="B937" s="37"/>
      <c r="C937" s="29"/>
      <c r="D937" s="29"/>
      <c r="E937" s="37"/>
      <c r="F937" s="37"/>
      <c r="G937" s="37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</row>
    <row r="938" ht="11.25" customHeight="1">
      <c r="A938" s="29"/>
      <c r="B938" s="37"/>
      <c r="C938" s="29"/>
      <c r="D938" s="29"/>
      <c r="E938" s="37"/>
      <c r="F938" s="37"/>
      <c r="G938" s="37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</row>
    <row r="939" ht="11.25" customHeight="1">
      <c r="A939" s="29"/>
      <c r="B939" s="37"/>
      <c r="C939" s="29"/>
      <c r="D939" s="29"/>
      <c r="E939" s="37"/>
      <c r="F939" s="37"/>
      <c r="G939" s="37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</row>
    <row r="940" ht="11.25" customHeight="1">
      <c r="A940" s="29"/>
      <c r="B940" s="37"/>
      <c r="C940" s="29"/>
      <c r="D940" s="29"/>
      <c r="E940" s="37"/>
      <c r="F940" s="37"/>
      <c r="G940" s="37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</row>
    <row r="941" ht="11.25" customHeight="1">
      <c r="A941" s="29"/>
      <c r="B941" s="37"/>
      <c r="C941" s="29"/>
      <c r="D941" s="29"/>
      <c r="E941" s="37"/>
      <c r="F941" s="37"/>
      <c r="G941" s="37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</row>
    <row r="942" ht="11.25" customHeight="1">
      <c r="A942" s="29"/>
      <c r="B942" s="37"/>
      <c r="C942" s="29"/>
      <c r="D942" s="29"/>
      <c r="E942" s="37"/>
      <c r="F942" s="37"/>
      <c r="G942" s="37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</row>
    <row r="943" ht="11.25" customHeight="1">
      <c r="A943" s="29"/>
      <c r="B943" s="37"/>
      <c r="C943" s="29"/>
      <c r="D943" s="29"/>
      <c r="E943" s="37"/>
      <c r="F943" s="37"/>
      <c r="G943" s="37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</row>
    <row r="944" ht="11.25" customHeight="1">
      <c r="A944" s="29"/>
      <c r="B944" s="37"/>
      <c r="C944" s="29"/>
      <c r="D944" s="29"/>
      <c r="E944" s="37"/>
      <c r="F944" s="37"/>
      <c r="G944" s="37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</row>
    <row r="945" ht="11.25" customHeight="1">
      <c r="A945" s="29"/>
      <c r="B945" s="37"/>
      <c r="C945" s="29"/>
      <c r="D945" s="29"/>
      <c r="E945" s="37"/>
      <c r="F945" s="37"/>
      <c r="G945" s="37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</row>
    <row r="946" ht="11.25" customHeight="1">
      <c r="A946" s="29"/>
      <c r="B946" s="37"/>
      <c r="C946" s="29"/>
      <c r="D946" s="29"/>
      <c r="E946" s="37"/>
      <c r="F946" s="37"/>
      <c r="G946" s="37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</row>
    <row r="947" ht="11.25" customHeight="1">
      <c r="A947" s="29"/>
      <c r="B947" s="37"/>
      <c r="C947" s="29"/>
      <c r="D947" s="29"/>
      <c r="E947" s="37"/>
      <c r="F947" s="37"/>
      <c r="G947" s="37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</row>
    <row r="948" ht="11.25" customHeight="1">
      <c r="A948" s="29"/>
      <c r="B948" s="37"/>
      <c r="C948" s="29"/>
      <c r="D948" s="29"/>
      <c r="E948" s="37"/>
      <c r="F948" s="37"/>
      <c r="G948" s="37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</row>
    <row r="949" ht="11.25" customHeight="1">
      <c r="A949" s="29"/>
      <c r="B949" s="37"/>
      <c r="C949" s="29"/>
      <c r="D949" s="29"/>
      <c r="E949" s="37"/>
      <c r="F949" s="37"/>
      <c r="G949" s="37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</row>
    <row r="950" ht="11.25" customHeight="1">
      <c r="A950" s="29"/>
      <c r="B950" s="37"/>
      <c r="C950" s="29"/>
      <c r="D950" s="29"/>
      <c r="E950" s="37"/>
      <c r="F950" s="37"/>
      <c r="G950" s="37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</row>
    <row r="951" ht="11.25" customHeight="1">
      <c r="A951" s="29"/>
      <c r="B951" s="37"/>
      <c r="C951" s="29"/>
      <c r="D951" s="29"/>
      <c r="E951" s="37"/>
      <c r="F951" s="37"/>
      <c r="G951" s="37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</row>
    <row r="952" ht="11.25" customHeight="1">
      <c r="A952" s="29"/>
      <c r="B952" s="37"/>
      <c r="C952" s="29"/>
      <c r="D952" s="29"/>
      <c r="E952" s="37"/>
      <c r="F952" s="37"/>
      <c r="G952" s="37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</row>
    <row r="953" ht="11.25" customHeight="1">
      <c r="A953" s="29"/>
      <c r="B953" s="37"/>
      <c r="C953" s="29"/>
      <c r="D953" s="29"/>
      <c r="E953" s="37"/>
      <c r="F953" s="37"/>
      <c r="G953" s="37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</row>
    <row r="954" ht="11.25" customHeight="1">
      <c r="A954" s="29"/>
      <c r="B954" s="37"/>
      <c r="C954" s="29"/>
      <c r="D954" s="29"/>
      <c r="E954" s="37"/>
      <c r="F954" s="37"/>
      <c r="G954" s="37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</row>
    <row r="955" ht="11.25" customHeight="1">
      <c r="A955" s="29"/>
      <c r="B955" s="37"/>
      <c r="C955" s="29"/>
      <c r="D955" s="29"/>
      <c r="E955" s="37"/>
      <c r="F955" s="37"/>
      <c r="G955" s="37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</row>
    <row r="956" ht="11.25" customHeight="1">
      <c r="A956" s="29"/>
      <c r="B956" s="37"/>
      <c r="C956" s="29"/>
      <c r="D956" s="29"/>
      <c r="E956" s="37"/>
      <c r="F956" s="37"/>
      <c r="G956" s="37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</row>
    <row r="957" ht="11.25" customHeight="1">
      <c r="A957" s="29"/>
      <c r="B957" s="37"/>
      <c r="C957" s="29"/>
      <c r="D957" s="29"/>
      <c r="E957" s="37"/>
      <c r="F957" s="37"/>
      <c r="G957" s="37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</row>
    <row r="958" ht="11.25" customHeight="1">
      <c r="A958" s="29"/>
      <c r="B958" s="37"/>
      <c r="C958" s="29"/>
      <c r="D958" s="29"/>
      <c r="E958" s="37"/>
      <c r="F958" s="37"/>
      <c r="G958" s="37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</row>
    <row r="959" ht="11.25" customHeight="1">
      <c r="A959" s="29"/>
      <c r="B959" s="37"/>
      <c r="C959" s="29"/>
      <c r="D959" s="29"/>
      <c r="E959" s="37"/>
      <c r="F959" s="37"/>
      <c r="G959" s="37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</row>
    <row r="960" ht="11.25" customHeight="1">
      <c r="A960" s="29"/>
      <c r="B960" s="37"/>
      <c r="C960" s="29"/>
      <c r="D960" s="29"/>
      <c r="E960" s="37"/>
      <c r="F960" s="37"/>
      <c r="G960" s="37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</row>
    <row r="961" ht="11.25" customHeight="1">
      <c r="A961" s="29"/>
      <c r="B961" s="37"/>
      <c r="C961" s="29"/>
      <c r="D961" s="29"/>
      <c r="E961" s="37"/>
      <c r="F961" s="37"/>
      <c r="G961" s="37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</row>
    <row r="962" ht="11.25" customHeight="1">
      <c r="A962" s="29"/>
      <c r="B962" s="37"/>
      <c r="C962" s="29"/>
      <c r="D962" s="29"/>
      <c r="E962" s="37"/>
      <c r="F962" s="37"/>
      <c r="G962" s="37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</row>
    <row r="963" ht="11.25" customHeight="1">
      <c r="A963" s="29"/>
      <c r="B963" s="37"/>
      <c r="C963" s="29"/>
      <c r="D963" s="29"/>
      <c r="E963" s="37"/>
      <c r="F963" s="37"/>
      <c r="G963" s="37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</row>
    <row r="964" ht="11.25" customHeight="1">
      <c r="A964" s="29"/>
      <c r="B964" s="37"/>
      <c r="C964" s="29"/>
      <c r="D964" s="29"/>
      <c r="E964" s="37"/>
      <c r="F964" s="37"/>
      <c r="G964" s="37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</row>
    <row r="965" ht="11.25" customHeight="1">
      <c r="A965" s="29"/>
      <c r="B965" s="37"/>
      <c r="C965" s="29"/>
      <c r="D965" s="29"/>
      <c r="E965" s="37"/>
      <c r="F965" s="37"/>
      <c r="G965" s="37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</row>
    <row r="966" ht="11.25" customHeight="1">
      <c r="A966" s="29"/>
      <c r="B966" s="37"/>
      <c r="C966" s="29"/>
      <c r="D966" s="29"/>
      <c r="E966" s="37"/>
      <c r="F966" s="37"/>
      <c r="G966" s="37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</row>
    <row r="967" ht="11.25" customHeight="1">
      <c r="A967" s="29"/>
      <c r="B967" s="37"/>
      <c r="C967" s="29"/>
      <c r="D967" s="29"/>
      <c r="E967" s="37"/>
      <c r="F967" s="37"/>
      <c r="G967" s="37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</row>
    <row r="968" ht="11.25" customHeight="1">
      <c r="A968" s="29"/>
      <c r="B968" s="37"/>
      <c r="C968" s="29"/>
      <c r="D968" s="29"/>
      <c r="E968" s="37"/>
      <c r="F968" s="37"/>
      <c r="G968" s="37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</row>
    <row r="969" ht="11.25" customHeight="1">
      <c r="A969" s="29"/>
      <c r="B969" s="37"/>
      <c r="C969" s="29"/>
      <c r="D969" s="29"/>
      <c r="E969" s="37"/>
      <c r="F969" s="37"/>
      <c r="G969" s="37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</row>
    <row r="970" ht="11.25" customHeight="1">
      <c r="A970" s="29"/>
      <c r="B970" s="37"/>
      <c r="C970" s="29"/>
      <c r="D970" s="29"/>
      <c r="E970" s="37"/>
      <c r="F970" s="37"/>
      <c r="G970" s="37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</row>
    <row r="971" ht="11.25" customHeight="1">
      <c r="A971" s="29"/>
      <c r="B971" s="37"/>
      <c r="C971" s="29"/>
      <c r="D971" s="29"/>
      <c r="E971" s="37"/>
      <c r="F971" s="37"/>
      <c r="G971" s="37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</row>
    <row r="972" ht="11.25" customHeight="1">
      <c r="A972" s="29"/>
      <c r="B972" s="37"/>
      <c r="C972" s="29"/>
      <c r="D972" s="29"/>
      <c r="E972" s="37"/>
      <c r="F972" s="37"/>
      <c r="G972" s="37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</row>
    <row r="973" ht="11.25" customHeight="1">
      <c r="A973" s="29"/>
      <c r="B973" s="37"/>
      <c r="C973" s="29"/>
      <c r="D973" s="29"/>
      <c r="E973" s="37"/>
      <c r="F973" s="37"/>
      <c r="G973" s="37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</row>
    <row r="974" ht="11.25" customHeight="1">
      <c r="A974" s="29"/>
      <c r="B974" s="37"/>
      <c r="C974" s="29"/>
      <c r="D974" s="29"/>
      <c r="E974" s="37"/>
      <c r="F974" s="37"/>
      <c r="G974" s="37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</row>
    <row r="975" ht="11.25" customHeight="1">
      <c r="A975" s="29"/>
      <c r="B975" s="37"/>
      <c r="C975" s="29"/>
      <c r="D975" s="29"/>
      <c r="E975" s="37"/>
      <c r="F975" s="37"/>
      <c r="G975" s="37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</row>
    <row r="976" ht="11.25" customHeight="1">
      <c r="A976" s="29"/>
      <c r="B976" s="37"/>
      <c r="C976" s="29"/>
      <c r="D976" s="29"/>
      <c r="E976" s="37"/>
      <c r="F976" s="37"/>
      <c r="G976" s="37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</row>
    <row r="977" ht="11.25" customHeight="1">
      <c r="A977" s="29"/>
      <c r="B977" s="37"/>
      <c r="C977" s="29"/>
      <c r="D977" s="29"/>
      <c r="E977" s="37"/>
      <c r="F977" s="37"/>
      <c r="G977" s="37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</row>
    <row r="978" ht="11.25" customHeight="1">
      <c r="A978" s="29"/>
      <c r="B978" s="37"/>
      <c r="C978" s="29"/>
      <c r="D978" s="29"/>
      <c r="E978" s="37"/>
      <c r="F978" s="37"/>
      <c r="G978" s="37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</row>
    <row r="979" ht="11.25" customHeight="1">
      <c r="A979" s="29"/>
      <c r="B979" s="37"/>
      <c r="C979" s="29"/>
      <c r="D979" s="29"/>
      <c r="E979" s="37"/>
      <c r="F979" s="37"/>
      <c r="G979" s="37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</row>
    <row r="980" ht="11.25" customHeight="1">
      <c r="A980" s="29"/>
      <c r="B980" s="37"/>
      <c r="C980" s="29"/>
      <c r="D980" s="29"/>
      <c r="E980" s="37"/>
      <c r="F980" s="37"/>
      <c r="G980" s="37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</row>
    <row r="981" ht="11.25" customHeight="1">
      <c r="A981" s="29"/>
      <c r="B981" s="37"/>
      <c r="C981" s="29"/>
      <c r="D981" s="29"/>
      <c r="E981" s="37"/>
      <c r="F981" s="37"/>
      <c r="G981" s="37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</row>
    <row r="982" ht="11.25" customHeight="1">
      <c r="A982" s="29"/>
      <c r="B982" s="37"/>
      <c r="C982" s="29"/>
      <c r="D982" s="29"/>
      <c r="E982" s="37"/>
      <c r="F982" s="37"/>
      <c r="G982" s="37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</row>
    <row r="983" ht="11.25" customHeight="1">
      <c r="A983" s="29"/>
      <c r="B983" s="37"/>
      <c r="C983" s="29"/>
      <c r="D983" s="29"/>
      <c r="E983" s="37"/>
      <c r="F983" s="37"/>
      <c r="G983" s="37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</row>
    <row r="984" ht="11.25" customHeight="1">
      <c r="A984" s="29"/>
      <c r="B984" s="37"/>
      <c r="C984" s="29"/>
      <c r="D984" s="29"/>
      <c r="E984" s="37"/>
      <c r="F984" s="37"/>
      <c r="G984" s="37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</row>
    <row r="985" ht="11.25" customHeight="1">
      <c r="A985" s="29"/>
      <c r="B985" s="37"/>
      <c r="C985" s="29"/>
      <c r="D985" s="29"/>
      <c r="E985" s="37"/>
      <c r="F985" s="37"/>
      <c r="G985" s="37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</row>
    <row r="986" ht="11.25" customHeight="1">
      <c r="A986" s="29"/>
      <c r="B986" s="37"/>
      <c r="C986" s="29"/>
      <c r="D986" s="29"/>
      <c r="E986" s="37"/>
      <c r="F986" s="37"/>
      <c r="G986" s="37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</row>
    <row r="987" ht="11.25" customHeight="1">
      <c r="A987" s="29"/>
      <c r="B987" s="37"/>
      <c r="C987" s="29"/>
      <c r="D987" s="29"/>
      <c r="E987" s="37"/>
      <c r="F987" s="37"/>
      <c r="G987" s="37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</row>
    <row r="988" ht="11.25" customHeight="1">
      <c r="A988" s="29"/>
      <c r="B988" s="37"/>
      <c r="C988" s="29"/>
      <c r="D988" s="29"/>
      <c r="E988" s="37"/>
      <c r="F988" s="37"/>
      <c r="G988" s="37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</row>
    <row r="989" ht="11.25" customHeight="1">
      <c r="A989" s="29"/>
      <c r="B989" s="37"/>
      <c r="C989" s="29"/>
      <c r="D989" s="29"/>
      <c r="E989" s="37"/>
      <c r="F989" s="37"/>
      <c r="G989" s="37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</row>
    <row r="990" ht="11.25" customHeight="1">
      <c r="A990" s="29"/>
      <c r="B990" s="37"/>
      <c r="C990" s="29"/>
      <c r="D990" s="29"/>
      <c r="E990" s="37"/>
      <c r="F990" s="37"/>
      <c r="G990" s="37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</row>
    <row r="991" ht="11.25" customHeight="1">
      <c r="A991" s="29"/>
      <c r="B991" s="37"/>
      <c r="C991" s="29"/>
      <c r="D991" s="29"/>
      <c r="E991" s="37"/>
      <c r="F991" s="37"/>
      <c r="G991" s="37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</row>
    <row r="992" ht="11.25" customHeight="1">
      <c r="A992" s="29"/>
      <c r="B992" s="37"/>
      <c r="C992" s="29"/>
      <c r="D992" s="29"/>
      <c r="E992" s="37"/>
      <c r="F992" s="37"/>
      <c r="G992" s="37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</row>
    <row r="993" ht="11.25" customHeight="1">
      <c r="A993" s="29"/>
      <c r="B993" s="37"/>
      <c r="C993" s="29"/>
      <c r="D993" s="29"/>
      <c r="E993" s="37"/>
      <c r="F993" s="37"/>
      <c r="G993" s="37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</row>
    <row r="994" ht="11.25" customHeight="1">
      <c r="A994" s="29"/>
      <c r="B994" s="37"/>
      <c r="C994" s="29"/>
      <c r="D994" s="29"/>
      <c r="E994" s="37"/>
      <c r="F994" s="37"/>
      <c r="G994" s="37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</row>
    <row r="995" ht="11.25" customHeight="1">
      <c r="A995" s="29"/>
      <c r="B995" s="37"/>
      <c r="C995" s="29"/>
      <c r="D995" s="29"/>
      <c r="E995" s="37"/>
      <c r="F995" s="37"/>
      <c r="G995" s="37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</row>
    <row r="996" ht="11.25" customHeight="1">
      <c r="A996" s="29"/>
      <c r="B996" s="37"/>
      <c r="C996" s="29"/>
      <c r="D996" s="29"/>
      <c r="E996" s="37"/>
      <c r="F996" s="37"/>
      <c r="G996" s="37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</row>
    <row r="997" ht="11.25" customHeight="1">
      <c r="A997" s="29"/>
      <c r="B997" s="37"/>
      <c r="C997" s="29"/>
      <c r="D997" s="29"/>
      <c r="E997" s="37"/>
      <c r="F997" s="37"/>
      <c r="G997" s="37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</row>
    <row r="998" ht="11.25" customHeight="1">
      <c r="A998" s="29"/>
      <c r="B998" s="37"/>
      <c r="C998" s="29"/>
      <c r="D998" s="29"/>
      <c r="E998" s="37"/>
      <c r="F998" s="37"/>
      <c r="G998" s="37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</row>
    <row r="999" ht="11.25" customHeight="1">
      <c r="A999" s="29"/>
      <c r="B999" s="37"/>
      <c r="C999" s="29"/>
      <c r="D999" s="29"/>
      <c r="E999" s="37"/>
      <c r="F999" s="37"/>
      <c r="G999" s="37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</row>
    <row r="1000" ht="11.25" customHeight="1">
      <c r="A1000" s="29"/>
      <c r="B1000" s="37"/>
      <c r="C1000" s="29"/>
      <c r="D1000" s="29"/>
      <c r="E1000" s="37"/>
      <c r="F1000" s="37"/>
      <c r="G1000" s="37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</row>
  </sheetData>
  <autoFilter ref="$A$12:$G$26"/>
  <mergeCells count="7">
    <mergeCell ref="A1:H1"/>
    <mergeCell ref="A2:G2"/>
    <mergeCell ref="A3:G3"/>
    <mergeCell ref="A4:G4"/>
    <mergeCell ref="A5:G5"/>
    <mergeCell ref="A7:B7"/>
    <mergeCell ref="A8:G8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pageSetUpPr/>
  </sheetPr>
  <sheetViews>
    <sheetView showGridLines="0" workbookViewId="0"/>
  </sheetViews>
  <sheetFormatPr customHeight="1" defaultColWidth="12.63" defaultRowHeight="15.0"/>
  <cols>
    <col customWidth="1" min="1" max="1" width="28.38"/>
    <col customWidth="1" min="2" max="2" width="23.63"/>
    <col customWidth="1" min="3" max="3" width="25.75"/>
    <col customWidth="1" min="4" max="4" width="43.75"/>
    <col customWidth="1" min="5" max="5" width="41.75"/>
    <col customWidth="1" min="6" max="6" width="19.75"/>
    <col customWidth="1" min="7" max="8" width="14.75"/>
    <col customWidth="1" min="9" max="27" width="10.88"/>
  </cols>
  <sheetData>
    <row r="1" ht="83.25" customHeight="1">
      <c r="A1" s="13"/>
      <c r="B1" s="13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 ht="23.25" customHeight="1">
      <c r="A2" s="1"/>
      <c r="B2" s="1" t="s">
        <v>0</v>
      </c>
      <c r="I2" s="15"/>
      <c r="J2" s="15"/>
      <c r="K2" s="15"/>
      <c r="L2" s="15"/>
      <c r="M2" s="15"/>
      <c r="N2" s="15"/>
      <c r="O2" s="15"/>
      <c r="P2" s="15"/>
      <c r="Q2" s="15"/>
      <c r="R2" s="16"/>
      <c r="S2" s="16"/>
      <c r="T2" s="16"/>
      <c r="U2" s="16"/>
      <c r="V2" s="16"/>
      <c r="W2" s="16"/>
      <c r="X2" s="16"/>
      <c r="Y2" s="16"/>
      <c r="Z2" s="16"/>
      <c r="AA2" s="16"/>
    </row>
    <row r="3" ht="23.25" customHeight="1">
      <c r="A3" s="1"/>
      <c r="B3" s="1" t="s">
        <v>1</v>
      </c>
      <c r="I3" s="15"/>
      <c r="J3" s="15"/>
      <c r="K3" s="15"/>
      <c r="L3" s="15"/>
      <c r="M3" s="15"/>
      <c r="N3" s="15"/>
      <c r="O3" s="15"/>
      <c r="P3" s="15"/>
      <c r="Q3" s="15"/>
      <c r="R3" s="16"/>
      <c r="S3" s="16"/>
      <c r="T3" s="16"/>
      <c r="U3" s="16"/>
      <c r="V3" s="16"/>
      <c r="W3" s="16"/>
      <c r="X3" s="16"/>
      <c r="Y3" s="16"/>
      <c r="Z3" s="16"/>
      <c r="AA3" s="16"/>
    </row>
    <row r="4" ht="23.25" customHeight="1">
      <c r="A4" s="5"/>
      <c r="B4" s="5" t="s">
        <v>7</v>
      </c>
      <c r="I4" s="15"/>
      <c r="J4" s="15"/>
      <c r="K4" s="15"/>
      <c r="L4" s="15"/>
      <c r="M4" s="15"/>
      <c r="N4" s="15"/>
      <c r="O4" s="15"/>
      <c r="P4" s="15"/>
      <c r="Q4" s="15"/>
      <c r="R4" s="16"/>
      <c r="S4" s="16"/>
      <c r="T4" s="16"/>
      <c r="U4" s="16"/>
      <c r="V4" s="16"/>
      <c r="W4" s="16"/>
      <c r="X4" s="16"/>
      <c r="Y4" s="16"/>
      <c r="Z4" s="16"/>
      <c r="AA4" s="16"/>
    </row>
    <row r="5" ht="24.0" customHeight="1">
      <c r="A5" s="6"/>
      <c r="B5" s="6" t="s">
        <v>4</v>
      </c>
      <c r="I5" s="3"/>
      <c r="J5" s="3"/>
      <c r="K5" s="3"/>
      <c r="L5" s="3"/>
      <c r="M5" s="3"/>
      <c r="N5" s="3"/>
      <c r="O5" s="3"/>
      <c r="P5" s="3"/>
      <c r="Q5" s="3"/>
      <c r="R5" s="4"/>
      <c r="S5" s="4"/>
      <c r="T5" s="4"/>
      <c r="U5" s="4"/>
      <c r="V5" s="4"/>
      <c r="W5" s="4"/>
      <c r="X5" s="4"/>
      <c r="Y5" s="4"/>
      <c r="Z5" s="4"/>
      <c r="AA5" s="4"/>
    </row>
    <row r="6" ht="13.5" customHeight="1">
      <c r="A6" s="19"/>
      <c r="B6" s="19"/>
      <c r="C6" s="19"/>
      <c r="D6" s="19"/>
      <c r="E6" s="19"/>
      <c r="F6" s="19"/>
      <c r="G6" s="19"/>
      <c r="H6" s="19"/>
      <c r="I6" s="13"/>
      <c r="J6" s="13"/>
      <c r="K6" s="13"/>
      <c r="L6" s="13"/>
      <c r="M6" s="13"/>
      <c r="N6" s="13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</row>
    <row r="7" ht="23.25" customHeight="1">
      <c r="A7" s="18"/>
      <c r="B7" s="18" t="s">
        <v>8</v>
      </c>
      <c r="D7" s="19"/>
      <c r="E7" s="19"/>
      <c r="F7" s="19"/>
      <c r="G7" s="19"/>
      <c r="H7" s="19"/>
      <c r="I7" s="13"/>
      <c r="J7" s="13"/>
      <c r="K7" s="13"/>
      <c r="L7" s="13"/>
      <c r="M7" s="13"/>
      <c r="N7" s="13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</row>
    <row r="8" ht="39.0" customHeight="1">
      <c r="A8" s="41"/>
      <c r="B8" s="41" t="s">
        <v>325</v>
      </c>
      <c r="I8" s="13"/>
      <c r="J8" s="13"/>
      <c r="K8" s="13"/>
      <c r="L8" s="13"/>
      <c r="M8" s="13"/>
      <c r="N8" s="13"/>
      <c r="O8" s="13"/>
      <c r="P8" s="13"/>
      <c r="Q8" s="13"/>
      <c r="R8" s="14"/>
      <c r="S8" s="14"/>
      <c r="T8" s="14"/>
      <c r="U8" s="14"/>
      <c r="V8" s="14"/>
      <c r="W8" s="14"/>
      <c r="X8" s="14"/>
      <c r="Y8" s="14"/>
      <c r="Z8" s="14"/>
      <c r="AA8" s="14"/>
    </row>
    <row r="9" ht="13.5" customHeight="1">
      <c r="A9" s="39"/>
      <c r="B9" s="39"/>
      <c r="C9" s="39"/>
      <c r="D9" s="39"/>
      <c r="E9" s="39"/>
      <c r="F9" s="39"/>
      <c r="G9" s="39"/>
      <c r="H9" s="39"/>
      <c r="I9" s="13"/>
      <c r="J9" s="13"/>
      <c r="K9" s="13"/>
      <c r="L9" s="13"/>
      <c r="M9" s="13"/>
      <c r="N9" s="13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</row>
    <row r="10" ht="11.25" customHeight="1">
      <c r="A10" s="18"/>
      <c r="B10" s="18" t="s">
        <v>10</v>
      </c>
      <c r="C10" s="18">
        <v>5.0</v>
      </c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5"/>
      <c r="S10" s="25"/>
      <c r="T10" s="25"/>
      <c r="U10" s="25"/>
      <c r="V10" s="25"/>
      <c r="W10" s="25"/>
      <c r="X10" s="25"/>
      <c r="Y10" s="25"/>
      <c r="Z10" s="25"/>
      <c r="AA10" s="25"/>
    </row>
    <row r="11" ht="11.25" customHeight="1">
      <c r="A11" s="18"/>
      <c r="B11" s="18" t="s">
        <v>11</v>
      </c>
      <c r="C11" s="18" t="s">
        <v>326</v>
      </c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 ht="11.25" customHeight="1">
      <c r="A12" s="42"/>
      <c r="B12" s="10" t="s">
        <v>13</v>
      </c>
      <c r="C12" s="10" t="s">
        <v>14</v>
      </c>
      <c r="D12" s="10" t="s">
        <v>15</v>
      </c>
      <c r="E12" s="10" t="s">
        <v>16</v>
      </c>
      <c r="F12" s="10" t="s">
        <v>17</v>
      </c>
      <c r="G12" s="10" t="s">
        <v>18</v>
      </c>
      <c r="H12" s="10" t="s">
        <v>19</v>
      </c>
      <c r="I12" s="10" t="s">
        <v>327</v>
      </c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 ht="11.25" customHeight="1">
      <c r="A13" s="43"/>
      <c r="B13" s="27" t="s">
        <v>20</v>
      </c>
      <c r="C13" s="28" t="s">
        <v>21</v>
      </c>
      <c r="D13" s="28" t="s">
        <v>21</v>
      </c>
      <c r="E13" s="28" t="s">
        <v>22</v>
      </c>
      <c r="F13" s="28" t="s">
        <v>23</v>
      </c>
      <c r="G13" s="11" t="s">
        <v>24</v>
      </c>
      <c r="H13" s="11">
        <v>2.0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 ht="11.25" customHeight="1">
      <c r="A14" s="43"/>
      <c r="B14" s="27" t="s">
        <v>25</v>
      </c>
      <c r="C14" s="28" t="s">
        <v>26</v>
      </c>
      <c r="D14" s="28" t="s">
        <v>27</v>
      </c>
      <c r="E14" s="28" t="s">
        <v>28</v>
      </c>
      <c r="F14" s="28" t="s">
        <v>23</v>
      </c>
      <c r="G14" s="11" t="s">
        <v>24</v>
      </c>
      <c r="H14" s="11">
        <v>2.0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 ht="11.25" customHeight="1">
      <c r="A15" s="43"/>
      <c r="B15" s="27" t="s">
        <v>29</v>
      </c>
      <c r="C15" s="28" t="s">
        <v>30</v>
      </c>
      <c r="D15" s="28" t="s">
        <v>31</v>
      </c>
      <c r="E15" s="28" t="s">
        <v>28</v>
      </c>
      <c r="F15" s="28" t="s">
        <v>23</v>
      </c>
      <c r="G15" s="11" t="s">
        <v>24</v>
      </c>
      <c r="H15" s="11">
        <v>7.0</v>
      </c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 ht="11.25" customHeight="1">
      <c r="A16" s="43"/>
      <c r="B16" s="27" t="s">
        <v>145</v>
      </c>
      <c r="C16" s="28" t="s">
        <v>146</v>
      </c>
      <c r="D16" s="28" t="s">
        <v>146</v>
      </c>
      <c r="E16" s="28" t="s">
        <v>147</v>
      </c>
      <c r="F16" s="28" t="s">
        <v>23</v>
      </c>
      <c r="G16" s="11" t="s">
        <v>24</v>
      </c>
      <c r="H16" s="11">
        <v>2.0</v>
      </c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 ht="11.25" customHeight="1">
      <c r="A17" s="43"/>
      <c r="B17" s="27" t="s">
        <v>328</v>
      </c>
      <c r="C17" s="28" t="s">
        <v>329</v>
      </c>
      <c r="D17" s="28" t="s">
        <v>329</v>
      </c>
      <c r="E17" s="28" t="s">
        <v>330</v>
      </c>
      <c r="F17" s="28" t="s">
        <v>23</v>
      </c>
      <c r="G17" s="11" t="s">
        <v>24</v>
      </c>
      <c r="H17" s="11">
        <v>4.0</v>
      </c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 ht="234.0" customHeight="1">
      <c r="A18" s="44"/>
      <c r="B18" s="30" t="s">
        <v>331</v>
      </c>
      <c r="C18" s="31" t="s">
        <v>332</v>
      </c>
      <c r="D18" s="31" t="s">
        <v>333</v>
      </c>
      <c r="E18" s="31" t="s">
        <v>334</v>
      </c>
      <c r="F18" s="31" t="s">
        <v>35</v>
      </c>
      <c r="G18" s="32" t="s">
        <v>36</v>
      </c>
      <c r="H18" s="32">
        <v>2.0</v>
      </c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</row>
    <row r="19" ht="11.25" customHeight="1">
      <c r="A19" s="43"/>
      <c r="B19" s="27" t="s">
        <v>335</v>
      </c>
      <c r="C19" s="28" t="s">
        <v>336</v>
      </c>
      <c r="D19" s="28" t="s">
        <v>337</v>
      </c>
      <c r="E19" s="28" t="s">
        <v>338</v>
      </c>
      <c r="F19" s="28" t="s">
        <v>35</v>
      </c>
      <c r="G19" s="11" t="s">
        <v>36</v>
      </c>
      <c r="H19" s="11">
        <v>1.0</v>
      </c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 ht="11.25" customHeight="1">
      <c r="A20" s="45"/>
      <c r="B20" s="46" t="s">
        <v>339</v>
      </c>
      <c r="C20" s="28" t="s">
        <v>340</v>
      </c>
      <c r="D20" s="28" t="s">
        <v>341</v>
      </c>
      <c r="E20" s="28" t="s">
        <v>342</v>
      </c>
      <c r="F20" s="28" t="s">
        <v>98</v>
      </c>
      <c r="G20" s="11" t="s">
        <v>99</v>
      </c>
      <c r="H20" s="11">
        <v>3.0</v>
      </c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 ht="89.25" customHeight="1">
      <c r="A21" s="43"/>
      <c r="B21" s="27" t="s">
        <v>343</v>
      </c>
      <c r="C21" s="28" t="s">
        <v>344</v>
      </c>
      <c r="D21" s="28" t="s">
        <v>345</v>
      </c>
      <c r="E21" s="28" t="s">
        <v>346</v>
      </c>
      <c r="F21" s="28" t="s">
        <v>98</v>
      </c>
      <c r="G21" s="11" t="s">
        <v>36</v>
      </c>
      <c r="H21" s="11">
        <v>2.0</v>
      </c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 ht="11.25" customHeight="1">
      <c r="A22" s="43"/>
      <c r="B22" s="27" t="s">
        <v>347</v>
      </c>
      <c r="C22" s="28" t="s">
        <v>348</v>
      </c>
      <c r="D22" s="28" t="s">
        <v>349</v>
      </c>
      <c r="E22" s="28" t="s">
        <v>350</v>
      </c>
      <c r="F22" s="28" t="s">
        <v>98</v>
      </c>
      <c r="G22" s="11" t="s">
        <v>99</v>
      </c>
      <c r="H22" s="11">
        <v>4.0</v>
      </c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 ht="11.25" customHeight="1">
      <c r="A23" s="43"/>
      <c r="B23" s="27" t="s">
        <v>351</v>
      </c>
      <c r="C23" s="28" t="s">
        <v>352</v>
      </c>
      <c r="D23" s="28" t="s">
        <v>353</v>
      </c>
      <c r="E23" s="28" t="s">
        <v>85</v>
      </c>
      <c r="F23" s="28" t="s">
        <v>35</v>
      </c>
      <c r="G23" s="11" t="s">
        <v>36</v>
      </c>
      <c r="H23" s="11">
        <v>1.0</v>
      </c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 ht="11.25" customHeight="1">
      <c r="A24" s="43"/>
      <c r="B24" s="27" t="s">
        <v>354</v>
      </c>
      <c r="C24" s="28" t="s">
        <v>355</v>
      </c>
      <c r="D24" s="28" t="s">
        <v>356</v>
      </c>
      <c r="E24" s="28" t="s">
        <v>85</v>
      </c>
      <c r="F24" s="28" t="s">
        <v>35</v>
      </c>
      <c r="G24" s="11" t="s">
        <v>36</v>
      </c>
      <c r="H24" s="11">
        <v>1.0</v>
      </c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 ht="90.75" customHeight="1">
      <c r="A25" s="43"/>
      <c r="B25" s="27" t="s">
        <v>357</v>
      </c>
      <c r="C25" s="28" t="s">
        <v>358</v>
      </c>
      <c r="D25" s="28" t="s">
        <v>359</v>
      </c>
      <c r="E25" s="28" t="s">
        <v>360</v>
      </c>
      <c r="F25" s="28" t="s">
        <v>35</v>
      </c>
      <c r="G25" s="11" t="s">
        <v>36</v>
      </c>
      <c r="H25" s="11">
        <v>1.0</v>
      </c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 ht="89.25" customHeight="1">
      <c r="A26" s="44"/>
      <c r="B26" s="30" t="s">
        <v>361</v>
      </c>
      <c r="C26" s="31" t="s">
        <v>362</v>
      </c>
      <c r="D26" s="31" t="s">
        <v>363</v>
      </c>
      <c r="E26" s="31" t="s">
        <v>364</v>
      </c>
      <c r="F26" s="31" t="s">
        <v>35</v>
      </c>
      <c r="G26" s="32" t="s">
        <v>36</v>
      </c>
      <c r="H26" s="32">
        <v>1.0</v>
      </c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</row>
    <row r="27" ht="87.0" customHeight="1">
      <c r="A27" s="44"/>
      <c r="B27" s="30" t="s">
        <v>365</v>
      </c>
      <c r="C27" s="31" t="s">
        <v>366</v>
      </c>
      <c r="D27" s="31" t="s">
        <v>367</v>
      </c>
      <c r="E27" s="31" t="s">
        <v>364</v>
      </c>
      <c r="F27" s="31" t="s">
        <v>35</v>
      </c>
      <c r="G27" s="32" t="s">
        <v>36</v>
      </c>
      <c r="H27" s="32">
        <v>1.0</v>
      </c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</row>
    <row r="28" ht="89.25" customHeight="1">
      <c r="A28" s="44"/>
      <c r="B28" s="30" t="s">
        <v>368</v>
      </c>
      <c r="C28" s="31" t="s">
        <v>369</v>
      </c>
      <c r="D28" s="31" t="s">
        <v>370</v>
      </c>
      <c r="E28" s="31" t="s">
        <v>364</v>
      </c>
      <c r="F28" s="31" t="s">
        <v>35</v>
      </c>
      <c r="G28" s="32" t="s">
        <v>36</v>
      </c>
      <c r="H28" s="32">
        <v>1.0</v>
      </c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 ht="11.25" customHeight="1">
      <c r="A29" s="44"/>
      <c r="B29" s="30" t="s">
        <v>371</v>
      </c>
      <c r="C29" s="31" t="s">
        <v>372</v>
      </c>
      <c r="D29" s="31" t="s">
        <v>373</v>
      </c>
      <c r="E29" s="31" t="s">
        <v>364</v>
      </c>
      <c r="F29" s="31" t="s">
        <v>35</v>
      </c>
      <c r="G29" s="32" t="s">
        <v>36</v>
      </c>
      <c r="H29" s="32">
        <v>1.0</v>
      </c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</row>
    <row r="30" ht="88.5" customHeight="1">
      <c r="A30" s="44"/>
      <c r="B30" s="30" t="s">
        <v>374</v>
      </c>
      <c r="C30" s="31" t="s">
        <v>375</v>
      </c>
      <c r="D30" s="31" t="s">
        <v>376</v>
      </c>
      <c r="E30" s="31" t="s">
        <v>364</v>
      </c>
      <c r="F30" s="31" t="s">
        <v>35</v>
      </c>
      <c r="G30" s="32" t="s">
        <v>36</v>
      </c>
      <c r="H30" s="32">
        <v>1.0</v>
      </c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</row>
    <row r="31" ht="88.5" customHeight="1">
      <c r="A31" s="44"/>
      <c r="B31" s="30" t="s">
        <v>377</v>
      </c>
      <c r="C31" s="31" t="s">
        <v>378</v>
      </c>
      <c r="D31" s="31" t="s">
        <v>379</v>
      </c>
      <c r="E31" s="31" t="s">
        <v>364</v>
      </c>
      <c r="F31" s="31" t="s">
        <v>35</v>
      </c>
      <c r="G31" s="32" t="s">
        <v>36</v>
      </c>
      <c r="H31" s="32">
        <v>1.0</v>
      </c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</row>
    <row r="32" ht="66.75" customHeight="1">
      <c r="A32" s="43"/>
      <c r="B32" s="27" t="s">
        <v>380</v>
      </c>
      <c r="C32" s="28" t="s">
        <v>381</v>
      </c>
      <c r="D32" s="28" t="s">
        <v>382</v>
      </c>
      <c r="E32" s="28" t="s">
        <v>383</v>
      </c>
      <c r="F32" s="28" t="s">
        <v>35</v>
      </c>
      <c r="G32" s="11" t="s">
        <v>36</v>
      </c>
      <c r="H32" s="11">
        <v>1.0</v>
      </c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</row>
    <row r="33" ht="11.25" customHeight="1">
      <c r="A33" s="43"/>
      <c r="B33" s="27" t="s">
        <v>384</v>
      </c>
      <c r="C33" s="28" t="s">
        <v>385</v>
      </c>
      <c r="D33" s="28" t="s">
        <v>385</v>
      </c>
      <c r="E33" s="28" t="s">
        <v>386</v>
      </c>
      <c r="F33" s="28" t="s">
        <v>35</v>
      </c>
      <c r="G33" s="11" t="s">
        <v>36</v>
      </c>
      <c r="H33" s="11">
        <v>2.0</v>
      </c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</row>
    <row r="34" ht="11.25" customHeight="1">
      <c r="A34" s="43"/>
      <c r="B34" s="27" t="s">
        <v>387</v>
      </c>
      <c r="C34" s="28" t="s">
        <v>388</v>
      </c>
      <c r="D34" s="28" t="s">
        <v>388</v>
      </c>
      <c r="E34" s="28" t="s">
        <v>386</v>
      </c>
      <c r="F34" s="28" t="s">
        <v>35</v>
      </c>
      <c r="G34" s="11" t="s">
        <v>36</v>
      </c>
      <c r="H34" s="11">
        <v>4.0</v>
      </c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</row>
    <row r="35" ht="11.25" customHeight="1">
      <c r="A35" s="43"/>
      <c r="B35" s="27" t="s">
        <v>389</v>
      </c>
      <c r="C35" s="28" t="s">
        <v>390</v>
      </c>
      <c r="D35" s="28" t="s">
        <v>391</v>
      </c>
      <c r="E35" s="28" t="s">
        <v>386</v>
      </c>
      <c r="F35" s="28" t="s">
        <v>35</v>
      </c>
      <c r="G35" s="11" t="s">
        <v>36</v>
      </c>
      <c r="H35" s="11">
        <v>6.0</v>
      </c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</row>
    <row r="36" ht="11.25" customHeight="1">
      <c r="A36" s="43"/>
      <c r="B36" s="27" t="s">
        <v>392</v>
      </c>
      <c r="C36" s="28" t="s">
        <v>393</v>
      </c>
      <c r="D36" s="28" t="s">
        <v>394</v>
      </c>
      <c r="E36" s="28" t="s">
        <v>395</v>
      </c>
      <c r="F36" s="28" t="s">
        <v>98</v>
      </c>
      <c r="G36" s="11" t="s">
        <v>36</v>
      </c>
      <c r="H36" s="11">
        <v>4.0</v>
      </c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</row>
    <row r="37" ht="82.5" customHeight="1">
      <c r="A37" s="43"/>
      <c r="B37" s="27" t="s">
        <v>396</v>
      </c>
      <c r="C37" s="28" t="s">
        <v>397</v>
      </c>
      <c r="D37" s="28" t="s">
        <v>398</v>
      </c>
      <c r="E37" s="28" t="s">
        <v>399</v>
      </c>
      <c r="F37" s="28" t="s">
        <v>35</v>
      </c>
      <c r="G37" s="11" t="s">
        <v>36</v>
      </c>
      <c r="H37" s="11">
        <v>1.0</v>
      </c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</row>
    <row r="38" ht="11.25" customHeight="1">
      <c r="A38" s="47"/>
      <c r="B38" s="48" t="s">
        <v>400</v>
      </c>
      <c r="C38" s="49" t="s">
        <v>401</v>
      </c>
      <c r="D38" s="49" t="s">
        <v>401</v>
      </c>
      <c r="E38" s="49" t="s">
        <v>386</v>
      </c>
      <c r="F38" s="49" t="s">
        <v>35</v>
      </c>
      <c r="G38" s="50" t="s">
        <v>36</v>
      </c>
      <c r="H38" s="50">
        <v>2.0</v>
      </c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</row>
    <row r="39" ht="11.25" customHeight="1">
      <c r="A39" s="47"/>
      <c r="B39" s="48" t="s">
        <v>402</v>
      </c>
      <c r="C39" s="49" t="s">
        <v>403</v>
      </c>
      <c r="D39" s="49" t="s">
        <v>403</v>
      </c>
      <c r="E39" s="49" t="s">
        <v>386</v>
      </c>
      <c r="F39" s="49" t="s">
        <v>35</v>
      </c>
      <c r="G39" s="50" t="s">
        <v>36</v>
      </c>
      <c r="H39" s="50">
        <v>4.0</v>
      </c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</row>
    <row r="40" ht="11.25" customHeight="1">
      <c r="A40" s="43"/>
      <c r="B40" s="27" t="s">
        <v>404</v>
      </c>
      <c r="C40" s="28" t="s">
        <v>405</v>
      </c>
      <c r="D40" s="28" t="s">
        <v>406</v>
      </c>
      <c r="E40" s="28" t="s">
        <v>386</v>
      </c>
      <c r="F40" s="28" t="s">
        <v>35</v>
      </c>
      <c r="G40" s="11" t="s">
        <v>36</v>
      </c>
      <c r="H40" s="11">
        <v>6.0</v>
      </c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</row>
    <row r="41" ht="11.25" customHeight="1">
      <c r="A41" s="44"/>
      <c r="B41" s="30" t="s">
        <v>407</v>
      </c>
      <c r="C41" s="31" t="s">
        <v>408</v>
      </c>
      <c r="D41" s="31" t="s">
        <v>409</v>
      </c>
      <c r="E41" s="31" t="s">
        <v>410</v>
      </c>
      <c r="F41" s="31" t="s">
        <v>35</v>
      </c>
      <c r="G41" s="32" t="s">
        <v>36</v>
      </c>
      <c r="H41" s="32">
        <v>1.0</v>
      </c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</row>
    <row r="42" ht="11.25" customHeight="1">
      <c r="A42" s="44"/>
      <c r="B42" s="30" t="s">
        <v>411</v>
      </c>
      <c r="C42" s="31" t="s">
        <v>412</v>
      </c>
      <c r="D42" s="31" t="s">
        <v>413</v>
      </c>
      <c r="E42" s="31" t="s">
        <v>414</v>
      </c>
      <c r="F42" s="31" t="s">
        <v>35</v>
      </c>
      <c r="G42" s="32" t="s">
        <v>36</v>
      </c>
      <c r="H42" s="32">
        <v>1.0</v>
      </c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</row>
    <row r="43" ht="11.25" customHeight="1">
      <c r="A43" s="44"/>
      <c r="B43" s="30" t="s">
        <v>415</v>
      </c>
      <c r="C43" s="31" t="s">
        <v>416</v>
      </c>
      <c r="D43" s="31" t="s">
        <v>417</v>
      </c>
      <c r="E43" s="31" t="s">
        <v>418</v>
      </c>
      <c r="F43" s="31" t="s">
        <v>35</v>
      </c>
      <c r="G43" s="32" t="s">
        <v>36</v>
      </c>
      <c r="H43" s="32">
        <v>1.0</v>
      </c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</row>
    <row r="44" ht="11.25" customHeight="1">
      <c r="A44" s="44"/>
      <c r="B44" s="30" t="s">
        <v>419</v>
      </c>
      <c r="C44" s="31" t="s">
        <v>420</v>
      </c>
      <c r="D44" s="31" t="s">
        <v>421</v>
      </c>
      <c r="E44" s="31" t="s">
        <v>422</v>
      </c>
      <c r="F44" s="31" t="s">
        <v>35</v>
      </c>
      <c r="G44" s="32" t="s">
        <v>36</v>
      </c>
      <c r="H44" s="32">
        <v>1.0</v>
      </c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</row>
    <row r="45" ht="11.25" customHeight="1">
      <c r="A45" s="44"/>
      <c r="B45" s="30" t="s">
        <v>423</v>
      </c>
      <c r="C45" s="31" t="s">
        <v>424</v>
      </c>
      <c r="D45" s="31" t="s">
        <v>425</v>
      </c>
      <c r="E45" s="31" t="s">
        <v>426</v>
      </c>
      <c r="F45" s="31" t="s">
        <v>35</v>
      </c>
      <c r="G45" s="32" t="s">
        <v>36</v>
      </c>
      <c r="H45" s="32">
        <v>1.0</v>
      </c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</row>
    <row r="46" ht="11.25" customHeight="1">
      <c r="A46" s="47"/>
      <c r="B46" s="48" t="s">
        <v>427</v>
      </c>
      <c r="C46" s="49" t="s">
        <v>428</v>
      </c>
      <c r="D46" s="49" t="s">
        <v>429</v>
      </c>
      <c r="E46" s="49" t="s">
        <v>430</v>
      </c>
      <c r="F46" s="49" t="s">
        <v>98</v>
      </c>
      <c r="G46" s="50" t="s">
        <v>36</v>
      </c>
      <c r="H46" s="50">
        <v>2.0</v>
      </c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  <c r="AA46" s="51"/>
    </row>
    <row r="47" ht="110.25" customHeight="1">
      <c r="A47" s="44"/>
      <c r="B47" s="30" t="s">
        <v>431</v>
      </c>
      <c r="C47" s="31" t="s">
        <v>432</v>
      </c>
      <c r="D47" s="31" t="s">
        <v>433</v>
      </c>
      <c r="E47" s="31" t="s">
        <v>434</v>
      </c>
      <c r="F47" s="31" t="s">
        <v>35</v>
      </c>
      <c r="G47" s="32" t="s">
        <v>36</v>
      </c>
      <c r="H47" s="32">
        <v>1.0</v>
      </c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</row>
    <row r="48" ht="11.25" customHeight="1">
      <c r="A48" s="43"/>
      <c r="B48" s="27" t="s">
        <v>435</v>
      </c>
      <c r="C48" s="28" t="s">
        <v>436</v>
      </c>
      <c r="D48" s="28" t="s">
        <v>437</v>
      </c>
      <c r="E48" s="28" t="s">
        <v>438</v>
      </c>
      <c r="F48" s="28" t="s">
        <v>35</v>
      </c>
      <c r="G48" s="11" t="s">
        <v>36</v>
      </c>
      <c r="H48" s="11">
        <v>1.0</v>
      </c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</row>
    <row r="49" ht="11.25" customHeight="1">
      <c r="A49" s="43"/>
      <c r="B49" s="27" t="s">
        <v>439</v>
      </c>
      <c r="C49" s="28" t="s">
        <v>440</v>
      </c>
      <c r="D49" s="28" t="s">
        <v>441</v>
      </c>
      <c r="E49" s="28" t="s">
        <v>442</v>
      </c>
      <c r="F49" s="28" t="s">
        <v>35</v>
      </c>
      <c r="G49" s="11" t="s">
        <v>36</v>
      </c>
      <c r="H49" s="11">
        <v>2.0</v>
      </c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</row>
    <row r="50" ht="11.25" customHeight="1">
      <c r="A50" s="43"/>
      <c r="B50" s="27" t="s">
        <v>443</v>
      </c>
      <c r="C50" s="28" t="s">
        <v>444</v>
      </c>
      <c r="D50" s="28" t="s">
        <v>445</v>
      </c>
      <c r="E50" s="28" t="s">
        <v>85</v>
      </c>
      <c r="F50" s="28" t="s">
        <v>35</v>
      </c>
      <c r="G50" s="11" t="s">
        <v>36</v>
      </c>
      <c r="H50" s="11">
        <v>1.0</v>
      </c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</row>
    <row r="51" ht="11.25" customHeight="1">
      <c r="A51" s="43"/>
      <c r="B51" s="27" t="s">
        <v>446</v>
      </c>
      <c r="C51" s="28" t="s">
        <v>447</v>
      </c>
      <c r="D51" s="28" t="s">
        <v>448</v>
      </c>
      <c r="E51" s="28" t="s">
        <v>449</v>
      </c>
      <c r="F51" s="28" t="s">
        <v>35</v>
      </c>
      <c r="G51" s="11" t="s">
        <v>36</v>
      </c>
      <c r="H51" s="11">
        <v>1.0</v>
      </c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</row>
    <row r="52" ht="11.25" customHeight="1">
      <c r="A52" s="43"/>
      <c r="B52" s="27" t="s">
        <v>450</v>
      </c>
      <c r="C52" s="28" t="s">
        <v>451</v>
      </c>
      <c r="D52" s="28" t="s">
        <v>452</v>
      </c>
      <c r="E52" s="28" t="s">
        <v>85</v>
      </c>
      <c r="F52" s="28" t="s">
        <v>35</v>
      </c>
      <c r="G52" s="11" t="s">
        <v>36</v>
      </c>
      <c r="H52" s="11">
        <v>1.0</v>
      </c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</row>
    <row r="53" ht="72.75" customHeight="1">
      <c r="A53" s="52"/>
      <c r="B53" s="53" t="s">
        <v>453</v>
      </c>
      <c r="C53" s="54" t="s">
        <v>454</v>
      </c>
      <c r="D53" s="54" t="s">
        <v>455</v>
      </c>
      <c r="E53" s="54" t="s">
        <v>456</v>
      </c>
      <c r="F53" s="54" t="s">
        <v>35</v>
      </c>
      <c r="G53" s="55" t="s">
        <v>36</v>
      </c>
      <c r="H53" s="55">
        <v>1.0</v>
      </c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  <c r="AA53" s="56"/>
    </row>
    <row r="54" ht="210.75" customHeight="1">
      <c r="A54" s="44"/>
      <c r="B54" s="30" t="s">
        <v>457</v>
      </c>
      <c r="C54" s="31" t="s">
        <v>458</v>
      </c>
      <c r="D54" s="31" t="s">
        <v>459</v>
      </c>
      <c r="E54" s="31" t="s">
        <v>460</v>
      </c>
      <c r="F54" s="31" t="s">
        <v>35</v>
      </c>
      <c r="G54" s="32" t="s">
        <v>36</v>
      </c>
      <c r="H54" s="32">
        <v>2.0</v>
      </c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</row>
    <row r="55" ht="117.75" customHeight="1">
      <c r="A55" s="43"/>
      <c r="B55" s="27" t="s">
        <v>461</v>
      </c>
      <c r="C55" s="28" t="s">
        <v>462</v>
      </c>
      <c r="D55" s="28" t="s">
        <v>463</v>
      </c>
      <c r="E55" s="28" t="s">
        <v>464</v>
      </c>
      <c r="F55" s="28" t="s">
        <v>465</v>
      </c>
      <c r="G55" s="11" t="s">
        <v>99</v>
      </c>
      <c r="H55" s="11">
        <v>2.0</v>
      </c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</row>
    <row r="56" ht="42.75" customHeight="1">
      <c r="A56" s="43"/>
      <c r="B56" s="27" t="s">
        <v>466</v>
      </c>
      <c r="C56" s="28" t="s">
        <v>467</v>
      </c>
      <c r="D56" s="28" t="s">
        <v>468</v>
      </c>
      <c r="E56" s="28" t="s">
        <v>85</v>
      </c>
      <c r="F56" s="28" t="s">
        <v>35</v>
      </c>
      <c r="G56" s="11" t="s">
        <v>36</v>
      </c>
      <c r="H56" s="11">
        <v>1.0</v>
      </c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</row>
    <row r="57" ht="55.5" customHeight="1">
      <c r="A57" s="43"/>
      <c r="B57" s="27" t="s">
        <v>469</v>
      </c>
      <c r="C57" s="28" t="s">
        <v>470</v>
      </c>
      <c r="D57" s="28" t="s">
        <v>471</v>
      </c>
      <c r="E57" s="28" t="s">
        <v>235</v>
      </c>
      <c r="F57" s="28" t="s">
        <v>35</v>
      </c>
      <c r="G57" s="11" t="s">
        <v>36</v>
      </c>
      <c r="H57" s="11">
        <v>1.0</v>
      </c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</row>
    <row r="58" ht="11.25" customHeight="1">
      <c r="A58" s="43"/>
      <c r="B58" s="27" t="s">
        <v>472</v>
      </c>
      <c r="C58" s="28" t="s">
        <v>473</v>
      </c>
      <c r="D58" s="28" t="s">
        <v>474</v>
      </c>
      <c r="E58" s="28" t="s">
        <v>85</v>
      </c>
      <c r="F58" s="28" t="s">
        <v>35</v>
      </c>
      <c r="G58" s="11" t="s">
        <v>36</v>
      </c>
      <c r="H58" s="11">
        <v>1.0</v>
      </c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</row>
    <row r="59" ht="11.25" customHeight="1">
      <c r="A59" s="43"/>
      <c r="B59" s="27" t="s">
        <v>475</v>
      </c>
      <c r="C59" s="28" t="s">
        <v>476</v>
      </c>
      <c r="D59" s="28" t="s">
        <v>477</v>
      </c>
      <c r="E59" s="28" t="s">
        <v>85</v>
      </c>
      <c r="F59" s="28" t="s">
        <v>35</v>
      </c>
      <c r="G59" s="11" t="s">
        <v>36</v>
      </c>
      <c r="H59" s="11">
        <v>1.0</v>
      </c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</row>
    <row r="60" ht="11.25" customHeight="1">
      <c r="A60" s="43"/>
      <c r="B60" s="27" t="s">
        <v>478</v>
      </c>
      <c r="C60" s="28" t="s">
        <v>479</v>
      </c>
      <c r="D60" s="28" t="s">
        <v>480</v>
      </c>
      <c r="E60" s="28" t="s">
        <v>85</v>
      </c>
      <c r="F60" s="28" t="s">
        <v>35</v>
      </c>
      <c r="G60" s="11" t="s">
        <v>36</v>
      </c>
      <c r="H60" s="11">
        <v>1.0</v>
      </c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</row>
    <row r="61" ht="11.25" customHeight="1">
      <c r="A61" s="43"/>
      <c r="B61" s="27" t="s">
        <v>481</v>
      </c>
      <c r="C61" s="28" t="s">
        <v>482</v>
      </c>
      <c r="D61" s="28" t="s">
        <v>483</v>
      </c>
      <c r="E61" s="28" t="s">
        <v>85</v>
      </c>
      <c r="F61" s="28" t="s">
        <v>35</v>
      </c>
      <c r="G61" s="11" t="s">
        <v>36</v>
      </c>
      <c r="H61" s="11">
        <v>1.0</v>
      </c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</row>
    <row r="62" ht="234.0" customHeight="1">
      <c r="A62" s="44"/>
      <c r="B62" s="30" t="s">
        <v>484</v>
      </c>
      <c r="C62" s="31" t="s">
        <v>485</v>
      </c>
      <c r="D62" s="31" t="s">
        <v>486</v>
      </c>
      <c r="E62" s="31" t="s">
        <v>487</v>
      </c>
      <c r="F62" s="31" t="s">
        <v>35</v>
      </c>
      <c r="G62" s="32" t="s">
        <v>36</v>
      </c>
      <c r="H62" s="32">
        <v>1.0</v>
      </c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</row>
    <row r="63" ht="11.25" customHeight="1">
      <c r="A63" s="43"/>
      <c r="B63" s="27" t="s">
        <v>488</v>
      </c>
      <c r="C63" s="28" t="s">
        <v>489</v>
      </c>
      <c r="D63" s="28" t="s">
        <v>490</v>
      </c>
      <c r="E63" s="28" t="s">
        <v>85</v>
      </c>
      <c r="F63" s="28" t="s">
        <v>35</v>
      </c>
      <c r="G63" s="11" t="s">
        <v>36</v>
      </c>
      <c r="H63" s="11">
        <v>1.0</v>
      </c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</row>
    <row r="64" ht="83.25" customHeight="1">
      <c r="A64" s="43"/>
      <c r="B64" s="27" t="s">
        <v>491</v>
      </c>
      <c r="C64" s="28" t="s">
        <v>492</v>
      </c>
      <c r="D64" s="28" t="s">
        <v>493</v>
      </c>
      <c r="E64" s="28" t="s">
        <v>494</v>
      </c>
      <c r="F64" s="28" t="s">
        <v>35</v>
      </c>
      <c r="G64" s="11" t="s">
        <v>36</v>
      </c>
      <c r="H64" s="11">
        <v>1.0</v>
      </c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</row>
    <row r="65" ht="90.75" customHeight="1">
      <c r="A65" s="43"/>
      <c r="B65" s="27" t="s">
        <v>495</v>
      </c>
      <c r="C65" s="28" t="s">
        <v>496</v>
      </c>
      <c r="D65" s="28" t="s">
        <v>497</v>
      </c>
      <c r="E65" s="28" t="s">
        <v>85</v>
      </c>
      <c r="F65" s="28" t="s">
        <v>35</v>
      </c>
      <c r="G65" s="11" t="s">
        <v>36</v>
      </c>
      <c r="H65" s="11">
        <v>1.0</v>
      </c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</row>
    <row r="66" ht="106.5" customHeight="1">
      <c r="A66" s="57" t="s">
        <v>498</v>
      </c>
      <c r="B66" s="30" t="s">
        <v>499</v>
      </c>
      <c r="C66" s="31" t="s">
        <v>500</v>
      </c>
      <c r="D66" s="31" t="s">
        <v>501</v>
      </c>
      <c r="E66" s="31" t="s">
        <v>502</v>
      </c>
      <c r="F66" s="31" t="s">
        <v>35</v>
      </c>
      <c r="G66" s="32" t="s">
        <v>36</v>
      </c>
      <c r="H66" s="32">
        <v>1.0</v>
      </c>
      <c r="I66" s="58" t="s">
        <v>503</v>
      </c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</row>
    <row r="67" ht="11.25" customHeight="1">
      <c r="A67" s="43"/>
      <c r="B67" s="27" t="s">
        <v>504</v>
      </c>
      <c r="C67" s="28" t="s">
        <v>505</v>
      </c>
      <c r="D67" s="28" t="s">
        <v>506</v>
      </c>
      <c r="E67" s="28" t="s">
        <v>507</v>
      </c>
      <c r="F67" s="28" t="s">
        <v>35</v>
      </c>
      <c r="G67" s="11" t="s">
        <v>36</v>
      </c>
      <c r="H67" s="11">
        <v>4.0</v>
      </c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</row>
    <row r="68" ht="11.25" customHeight="1">
      <c r="A68" s="43"/>
      <c r="B68" s="27" t="s">
        <v>508</v>
      </c>
      <c r="C68" s="28" t="s">
        <v>509</v>
      </c>
      <c r="D68" s="28" t="s">
        <v>510</v>
      </c>
      <c r="E68" s="28" t="s">
        <v>511</v>
      </c>
      <c r="F68" s="28" t="s">
        <v>35</v>
      </c>
      <c r="G68" s="11" t="s">
        <v>36</v>
      </c>
      <c r="H68" s="11">
        <v>4.0</v>
      </c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</row>
    <row r="69" ht="180.0" customHeight="1">
      <c r="A69" s="57" t="s">
        <v>512</v>
      </c>
      <c r="B69" s="30" t="s">
        <v>513</v>
      </c>
      <c r="C69" s="31" t="s">
        <v>514</v>
      </c>
      <c r="D69" s="31" t="s">
        <v>515</v>
      </c>
      <c r="E69" s="31" t="s">
        <v>516</v>
      </c>
      <c r="F69" s="31" t="s">
        <v>35</v>
      </c>
      <c r="G69" s="32" t="s">
        <v>36</v>
      </c>
      <c r="H69" s="32">
        <v>1.0</v>
      </c>
      <c r="I69" s="59" t="s">
        <v>517</v>
      </c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</row>
    <row r="70" ht="144.75" customHeight="1">
      <c r="A70" s="43"/>
      <c r="B70" s="27" t="s">
        <v>518</v>
      </c>
      <c r="C70" s="28" t="s">
        <v>519</v>
      </c>
      <c r="D70" s="28" t="s">
        <v>520</v>
      </c>
      <c r="E70" s="28" t="s">
        <v>521</v>
      </c>
      <c r="F70" s="28" t="s">
        <v>35</v>
      </c>
      <c r="G70" s="11" t="s">
        <v>36</v>
      </c>
      <c r="H70" s="11">
        <v>1.0</v>
      </c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</row>
    <row r="71" ht="107.25" customHeight="1">
      <c r="A71" s="44"/>
      <c r="B71" s="30" t="s">
        <v>522</v>
      </c>
      <c r="C71" s="31" t="s">
        <v>523</v>
      </c>
      <c r="D71" s="31" t="s">
        <v>524</v>
      </c>
      <c r="E71" s="31" t="s">
        <v>525</v>
      </c>
      <c r="F71" s="31" t="s">
        <v>35</v>
      </c>
      <c r="G71" s="32" t="s">
        <v>36</v>
      </c>
      <c r="H71" s="32">
        <v>1.0</v>
      </c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</row>
    <row r="72" ht="11.25" customHeight="1">
      <c r="A72" s="45"/>
      <c r="B72" s="46" t="s">
        <v>526</v>
      </c>
      <c r="C72" s="28" t="s">
        <v>527</v>
      </c>
      <c r="D72" s="28" t="s">
        <v>528</v>
      </c>
      <c r="E72" s="28" t="s">
        <v>529</v>
      </c>
      <c r="F72" s="28" t="s">
        <v>98</v>
      </c>
      <c r="G72" s="11" t="s">
        <v>99</v>
      </c>
      <c r="H72" s="11">
        <v>2.0</v>
      </c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</row>
    <row r="73" ht="11.25" customHeight="1">
      <c r="A73" s="45"/>
      <c r="B73" s="46" t="s">
        <v>530</v>
      </c>
      <c r="C73" s="28" t="s">
        <v>531</v>
      </c>
      <c r="D73" s="28" t="s">
        <v>532</v>
      </c>
      <c r="E73" s="28" t="s">
        <v>529</v>
      </c>
      <c r="F73" s="28" t="s">
        <v>98</v>
      </c>
      <c r="G73" s="11" t="s">
        <v>99</v>
      </c>
      <c r="H73" s="11">
        <v>2.0</v>
      </c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</row>
    <row r="74" ht="11.25" customHeight="1">
      <c r="A74" s="45"/>
      <c r="B74" s="46" t="s">
        <v>533</v>
      </c>
      <c r="C74" s="28" t="s">
        <v>534</v>
      </c>
      <c r="D74" s="28" t="s">
        <v>535</v>
      </c>
      <c r="E74" s="28" t="s">
        <v>529</v>
      </c>
      <c r="F74" s="28" t="s">
        <v>98</v>
      </c>
      <c r="G74" s="11" t="s">
        <v>99</v>
      </c>
      <c r="H74" s="11">
        <v>2.0</v>
      </c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</row>
    <row r="75" ht="11.25" customHeight="1">
      <c r="A75" s="43"/>
      <c r="B75" s="27" t="s">
        <v>536</v>
      </c>
      <c r="C75" s="28" t="s">
        <v>537</v>
      </c>
      <c r="D75" s="28" t="s">
        <v>538</v>
      </c>
      <c r="E75" s="28" t="s">
        <v>529</v>
      </c>
      <c r="F75" s="28" t="s">
        <v>98</v>
      </c>
      <c r="G75" s="11" t="s">
        <v>99</v>
      </c>
      <c r="H75" s="11">
        <v>2.0</v>
      </c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</row>
    <row r="76" ht="11.25" customHeight="1">
      <c r="A76" s="43"/>
      <c r="B76" s="27" t="s">
        <v>539</v>
      </c>
      <c r="C76" s="28" t="s">
        <v>540</v>
      </c>
      <c r="D76" s="28" t="s">
        <v>541</v>
      </c>
      <c r="E76" s="28" t="s">
        <v>529</v>
      </c>
      <c r="F76" s="28" t="s">
        <v>98</v>
      </c>
      <c r="G76" s="11" t="s">
        <v>99</v>
      </c>
      <c r="H76" s="11">
        <v>2.0</v>
      </c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</row>
    <row r="77" ht="11.25" customHeight="1">
      <c r="A77" s="44"/>
      <c r="B77" s="30" t="s">
        <v>542</v>
      </c>
      <c r="C77" s="31" t="s">
        <v>543</v>
      </c>
      <c r="D77" s="31" t="s">
        <v>544</v>
      </c>
      <c r="E77" s="31" t="s">
        <v>529</v>
      </c>
      <c r="F77" s="31" t="s">
        <v>98</v>
      </c>
      <c r="G77" s="32" t="s">
        <v>99</v>
      </c>
      <c r="H77" s="32">
        <v>2.0</v>
      </c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</row>
    <row r="78" ht="11.25" customHeight="1">
      <c r="A78" s="43"/>
      <c r="B78" s="27" t="s">
        <v>545</v>
      </c>
      <c r="C78" s="28" t="s">
        <v>546</v>
      </c>
      <c r="D78" s="28" t="s">
        <v>547</v>
      </c>
      <c r="E78" s="28" t="s">
        <v>548</v>
      </c>
      <c r="F78" s="28" t="s">
        <v>98</v>
      </c>
      <c r="G78" s="11" t="s">
        <v>99</v>
      </c>
      <c r="H78" s="11">
        <v>2.0</v>
      </c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</row>
    <row r="79" ht="11.25" customHeight="1">
      <c r="A79" s="43"/>
      <c r="B79" s="27" t="s">
        <v>549</v>
      </c>
      <c r="C79" s="28" t="s">
        <v>550</v>
      </c>
      <c r="D79" s="28" t="s">
        <v>551</v>
      </c>
      <c r="E79" s="28" t="s">
        <v>552</v>
      </c>
      <c r="F79" s="28" t="s">
        <v>98</v>
      </c>
      <c r="G79" s="11" t="s">
        <v>99</v>
      </c>
      <c r="H79" s="11">
        <v>2.0</v>
      </c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</row>
    <row r="80" ht="222.75" customHeight="1">
      <c r="A80" s="43"/>
      <c r="B80" s="27" t="s">
        <v>553</v>
      </c>
      <c r="C80" s="28" t="s">
        <v>554</v>
      </c>
      <c r="D80" s="28" t="s">
        <v>555</v>
      </c>
      <c r="E80" s="28" t="s">
        <v>276</v>
      </c>
      <c r="F80" s="28" t="s">
        <v>98</v>
      </c>
      <c r="G80" s="11" t="s">
        <v>36</v>
      </c>
      <c r="H80" s="11">
        <v>2.0</v>
      </c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</row>
    <row r="81" ht="11.25" customHeight="1">
      <c r="A81" s="43"/>
      <c r="B81" s="27" t="s">
        <v>556</v>
      </c>
      <c r="C81" s="28" t="s">
        <v>557</v>
      </c>
      <c r="D81" s="28" t="s">
        <v>558</v>
      </c>
      <c r="E81" s="28" t="s">
        <v>559</v>
      </c>
      <c r="F81" s="28" t="s">
        <v>98</v>
      </c>
      <c r="G81" s="11" t="s">
        <v>99</v>
      </c>
      <c r="H81" s="11">
        <v>4.0</v>
      </c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</row>
    <row r="82" ht="11.25" customHeight="1">
      <c r="A82" s="43"/>
      <c r="B82" s="27" t="s">
        <v>560</v>
      </c>
      <c r="C82" s="31" t="s">
        <v>561</v>
      </c>
      <c r="D82" s="31" t="s">
        <v>562</v>
      </c>
      <c r="E82" s="31" t="s">
        <v>563</v>
      </c>
      <c r="F82" s="31" t="s">
        <v>564</v>
      </c>
      <c r="G82" s="32" t="s">
        <v>36</v>
      </c>
      <c r="H82" s="32">
        <v>1.0</v>
      </c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</row>
    <row r="83" ht="11.25" customHeight="1">
      <c r="A83" s="43"/>
      <c r="B83" s="27" t="s">
        <v>565</v>
      </c>
      <c r="C83" s="28" t="s">
        <v>566</v>
      </c>
      <c r="D83" s="28" t="s">
        <v>566</v>
      </c>
      <c r="E83" s="28" t="s">
        <v>567</v>
      </c>
      <c r="F83" s="28" t="s">
        <v>564</v>
      </c>
      <c r="G83" s="11" t="s">
        <v>36</v>
      </c>
      <c r="H83" s="11">
        <v>1.0</v>
      </c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</row>
    <row r="84" ht="11.25" customHeight="1">
      <c r="A84" s="44"/>
      <c r="B84" s="30" t="s">
        <v>108</v>
      </c>
      <c r="C84" s="31" t="s">
        <v>109</v>
      </c>
      <c r="D84" s="31" t="s">
        <v>110</v>
      </c>
      <c r="E84" s="31" t="s">
        <v>111</v>
      </c>
      <c r="F84" s="31" t="s">
        <v>35</v>
      </c>
      <c r="G84" s="32" t="s">
        <v>36</v>
      </c>
      <c r="H84" s="32">
        <v>1.0</v>
      </c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</row>
    <row r="85" ht="11.25" customHeight="1">
      <c r="A85" s="43"/>
      <c r="B85" s="27" t="s">
        <v>112</v>
      </c>
      <c r="C85" s="28" t="s">
        <v>27</v>
      </c>
      <c r="D85" s="28" t="s">
        <v>110</v>
      </c>
      <c r="E85" s="28" t="s">
        <v>22</v>
      </c>
      <c r="F85" s="28" t="s">
        <v>23</v>
      </c>
      <c r="G85" s="11" t="s">
        <v>24</v>
      </c>
      <c r="H85" s="11">
        <v>4.0</v>
      </c>
      <c r="I85" s="29"/>
      <c r="J85" s="29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</row>
    <row r="86" ht="11.25" customHeight="1">
      <c r="A86" s="43"/>
      <c r="B86" s="27" t="s">
        <v>113</v>
      </c>
      <c r="C86" s="28" t="s">
        <v>114</v>
      </c>
      <c r="D86" s="28" t="s">
        <v>110</v>
      </c>
      <c r="E86" s="28"/>
      <c r="F86" s="28" t="s">
        <v>23</v>
      </c>
      <c r="G86" s="11" t="s">
        <v>24</v>
      </c>
      <c r="H86" s="11">
        <v>21.0</v>
      </c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</row>
    <row r="87" ht="11.25" customHeight="1">
      <c r="A87" s="43"/>
      <c r="B87" s="27" t="s">
        <v>259</v>
      </c>
      <c r="C87" s="28" t="s">
        <v>260</v>
      </c>
      <c r="D87" s="28" t="s">
        <v>261</v>
      </c>
      <c r="E87" s="28"/>
      <c r="F87" s="28" t="s">
        <v>23</v>
      </c>
      <c r="G87" s="11" t="s">
        <v>24</v>
      </c>
      <c r="H87" s="11">
        <v>23.0</v>
      </c>
      <c r="I87" s="29"/>
      <c r="J87" s="29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</row>
    <row r="88" ht="11.25" customHeight="1">
      <c r="A88" s="43"/>
      <c r="B88" s="27" t="s">
        <v>568</v>
      </c>
      <c r="C88" s="28" t="s">
        <v>569</v>
      </c>
      <c r="D88" s="28" t="s">
        <v>570</v>
      </c>
      <c r="E88" s="28"/>
      <c r="F88" s="28" t="s">
        <v>23</v>
      </c>
      <c r="G88" s="11" t="s">
        <v>24</v>
      </c>
      <c r="H88" s="11">
        <v>27.0</v>
      </c>
      <c r="I88" s="29"/>
      <c r="J88" s="29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</row>
    <row r="89" ht="373.5" customHeight="1">
      <c r="A89" s="43"/>
      <c r="B89" s="27" t="s">
        <v>571</v>
      </c>
      <c r="C89" s="31" t="s">
        <v>572</v>
      </c>
      <c r="D89" s="31" t="s">
        <v>573</v>
      </c>
      <c r="E89" s="31" t="s">
        <v>574</v>
      </c>
      <c r="F89" s="31" t="s">
        <v>35</v>
      </c>
      <c r="G89" s="32" t="s">
        <v>36</v>
      </c>
      <c r="H89" s="32">
        <v>2.0</v>
      </c>
      <c r="I89" s="29"/>
      <c r="J89" s="29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</row>
    <row r="90" ht="49.5" customHeight="1">
      <c r="A90" s="43"/>
      <c r="B90" s="27" t="s">
        <v>575</v>
      </c>
      <c r="C90" s="28" t="s">
        <v>576</v>
      </c>
      <c r="D90" s="28" t="s">
        <v>573</v>
      </c>
      <c r="E90" s="28" t="s">
        <v>577</v>
      </c>
      <c r="F90" s="28" t="s">
        <v>35</v>
      </c>
      <c r="G90" s="11" t="s">
        <v>36</v>
      </c>
      <c r="H90" s="11">
        <v>1.0</v>
      </c>
      <c r="I90" s="29"/>
      <c r="J90" s="29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</row>
    <row r="91" ht="11.25" customHeight="1">
      <c r="A91" s="43"/>
      <c r="B91" s="27" t="s">
        <v>578</v>
      </c>
      <c r="C91" s="28" t="s">
        <v>579</v>
      </c>
      <c r="D91" s="28" t="s">
        <v>573</v>
      </c>
      <c r="E91" s="28" t="s">
        <v>580</v>
      </c>
      <c r="F91" s="28" t="s">
        <v>35</v>
      </c>
      <c r="G91" s="11" t="s">
        <v>36</v>
      </c>
      <c r="H91" s="11">
        <v>1.0</v>
      </c>
      <c r="I91" s="29"/>
      <c r="J91" s="29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</row>
    <row r="92" ht="187.5" customHeight="1">
      <c r="A92" s="43"/>
      <c r="B92" s="27" t="s">
        <v>581</v>
      </c>
      <c r="C92" s="28" t="s">
        <v>582</v>
      </c>
      <c r="D92" s="28" t="s">
        <v>583</v>
      </c>
      <c r="E92" s="28" t="s">
        <v>584</v>
      </c>
      <c r="F92" s="28" t="s">
        <v>35</v>
      </c>
      <c r="G92" s="11" t="s">
        <v>36</v>
      </c>
      <c r="H92" s="11">
        <v>1.0</v>
      </c>
      <c r="I92" s="29"/>
      <c r="J92" s="29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/>
    </row>
    <row r="93" ht="167.25" customHeight="1">
      <c r="A93" s="44"/>
      <c r="B93" s="30" t="s">
        <v>585</v>
      </c>
      <c r="C93" s="31" t="s">
        <v>586</v>
      </c>
      <c r="D93" s="31" t="s">
        <v>587</v>
      </c>
      <c r="E93" s="31" t="s">
        <v>588</v>
      </c>
      <c r="F93" s="31" t="s">
        <v>35</v>
      </c>
      <c r="G93" s="32" t="s">
        <v>36</v>
      </c>
      <c r="H93" s="32">
        <v>1.0</v>
      </c>
      <c r="I93" s="33"/>
      <c r="J93" s="33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</row>
    <row r="94" ht="86.25" customHeight="1">
      <c r="A94" s="43"/>
      <c r="B94" s="27" t="s">
        <v>589</v>
      </c>
      <c r="C94" s="28" t="s">
        <v>590</v>
      </c>
      <c r="D94" s="28"/>
      <c r="E94" s="28" t="s">
        <v>591</v>
      </c>
      <c r="F94" s="28" t="s">
        <v>98</v>
      </c>
      <c r="G94" s="11" t="s">
        <v>99</v>
      </c>
      <c r="H94" s="11">
        <v>2.0</v>
      </c>
      <c r="I94" s="29"/>
      <c r="J94" s="29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</row>
    <row r="95" ht="11.25" customHeight="1">
      <c r="A95" s="43"/>
      <c r="B95" s="27" t="s">
        <v>592</v>
      </c>
      <c r="C95" s="28" t="s">
        <v>593</v>
      </c>
      <c r="D95" s="28" t="s">
        <v>594</v>
      </c>
      <c r="E95" s="28" t="s">
        <v>595</v>
      </c>
      <c r="F95" s="28" t="s">
        <v>35</v>
      </c>
      <c r="G95" s="11" t="s">
        <v>36</v>
      </c>
      <c r="H95" s="11">
        <v>1.0</v>
      </c>
      <c r="I95" s="29"/>
      <c r="J95" s="29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</row>
    <row r="96" ht="104.25" customHeight="1">
      <c r="A96" s="43"/>
      <c r="B96" s="27" t="s">
        <v>596</v>
      </c>
      <c r="C96" s="28" t="s">
        <v>597</v>
      </c>
      <c r="D96" s="28" t="s">
        <v>598</v>
      </c>
      <c r="E96" s="28" t="s">
        <v>599</v>
      </c>
      <c r="F96" s="28" t="s">
        <v>35</v>
      </c>
      <c r="G96" s="11" t="s">
        <v>36</v>
      </c>
      <c r="H96" s="11">
        <v>1.0</v>
      </c>
      <c r="I96" s="29"/>
      <c r="J96" s="29"/>
      <c r="K96" s="60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</row>
    <row r="97" ht="11.25" customHeight="1">
      <c r="A97" s="43"/>
      <c r="B97" s="27" t="s">
        <v>600</v>
      </c>
      <c r="C97" s="28" t="s">
        <v>601</v>
      </c>
      <c r="D97" s="28" t="s">
        <v>602</v>
      </c>
      <c r="E97" s="28" t="s">
        <v>603</v>
      </c>
      <c r="F97" s="28" t="s">
        <v>35</v>
      </c>
      <c r="G97" s="11" t="s">
        <v>36</v>
      </c>
      <c r="H97" s="11">
        <v>1.0</v>
      </c>
      <c r="I97" s="29"/>
      <c r="J97" s="29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7"/>
    </row>
    <row r="98" ht="11.25" customHeight="1">
      <c r="A98" s="43"/>
      <c r="B98" s="27" t="s">
        <v>604</v>
      </c>
      <c r="C98" s="28" t="s">
        <v>605</v>
      </c>
      <c r="D98" s="28" t="s">
        <v>602</v>
      </c>
      <c r="E98" s="28" t="s">
        <v>606</v>
      </c>
      <c r="F98" s="28" t="s">
        <v>35</v>
      </c>
      <c r="G98" s="11" t="s">
        <v>36</v>
      </c>
      <c r="H98" s="11">
        <v>1.0</v>
      </c>
      <c r="I98" s="29"/>
      <c r="J98" s="29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</row>
    <row r="99" ht="220.5" customHeight="1">
      <c r="A99" s="61" t="s">
        <v>607</v>
      </c>
      <c r="B99" s="30" t="s">
        <v>608</v>
      </c>
      <c r="C99" s="31" t="s">
        <v>609</v>
      </c>
      <c r="D99" s="31" t="s">
        <v>610</v>
      </c>
      <c r="E99" s="31" t="s">
        <v>611</v>
      </c>
      <c r="F99" s="31" t="s">
        <v>35</v>
      </c>
      <c r="G99" s="32" t="s">
        <v>36</v>
      </c>
      <c r="H99" s="32">
        <v>2.0</v>
      </c>
      <c r="I99" s="58" t="s">
        <v>503</v>
      </c>
      <c r="J99" s="33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</row>
    <row r="100" ht="11.25" customHeight="1">
      <c r="A100" s="62" t="s">
        <v>612</v>
      </c>
      <c r="B100" s="63" t="s">
        <v>613</v>
      </c>
      <c r="C100" s="31" t="s">
        <v>614</v>
      </c>
      <c r="D100" s="31" t="s">
        <v>615</v>
      </c>
      <c r="E100" s="64" t="s">
        <v>616</v>
      </c>
      <c r="F100" s="31" t="s">
        <v>35</v>
      </c>
      <c r="G100" s="32" t="s">
        <v>36</v>
      </c>
      <c r="H100" s="65">
        <v>2.0</v>
      </c>
      <c r="I100" s="58" t="s">
        <v>503</v>
      </c>
      <c r="J100" s="33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</row>
    <row r="101" ht="102.75" customHeight="1">
      <c r="A101" s="43"/>
      <c r="B101" s="27" t="s">
        <v>617</v>
      </c>
      <c r="C101" s="28" t="s">
        <v>618</v>
      </c>
      <c r="D101" s="28" t="s">
        <v>619</v>
      </c>
      <c r="E101" s="28" t="s">
        <v>620</v>
      </c>
      <c r="F101" s="28" t="s">
        <v>564</v>
      </c>
      <c r="G101" s="11" t="s">
        <v>36</v>
      </c>
      <c r="H101" s="11">
        <v>1.0</v>
      </c>
      <c r="I101" s="29"/>
      <c r="J101" s="29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</row>
    <row r="102" ht="96.75" customHeight="1">
      <c r="A102" s="43"/>
      <c r="B102" s="27" t="s">
        <v>621</v>
      </c>
      <c r="C102" s="28" t="s">
        <v>622</v>
      </c>
      <c r="D102" s="28" t="s">
        <v>619</v>
      </c>
      <c r="E102" s="28" t="s">
        <v>623</v>
      </c>
      <c r="F102" s="28" t="s">
        <v>564</v>
      </c>
      <c r="G102" s="11" t="s">
        <v>36</v>
      </c>
      <c r="H102" s="11">
        <v>1.0</v>
      </c>
      <c r="I102" s="29"/>
      <c r="J102" s="29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</row>
    <row r="103" ht="86.25" customHeight="1">
      <c r="A103" s="43"/>
      <c r="B103" s="27" t="s">
        <v>624</v>
      </c>
      <c r="C103" s="28" t="s">
        <v>625</v>
      </c>
      <c r="D103" s="28" t="s">
        <v>619</v>
      </c>
      <c r="E103" s="28" t="s">
        <v>626</v>
      </c>
      <c r="F103" s="28" t="s">
        <v>564</v>
      </c>
      <c r="G103" s="11" t="s">
        <v>36</v>
      </c>
      <c r="H103" s="11">
        <v>1.0</v>
      </c>
      <c r="I103" s="29"/>
      <c r="J103" s="29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</row>
    <row r="104" ht="86.25" customHeight="1">
      <c r="A104" s="43"/>
      <c r="B104" s="27" t="s">
        <v>627</v>
      </c>
      <c r="C104" s="28" t="s">
        <v>628</v>
      </c>
      <c r="D104" s="28" t="s">
        <v>619</v>
      </c>
      <c r="E104" s="28" t="s">
        <v>629</v>
      </c>
      <c r="F104" s="28" t="s">
        <v>564</v>
      </c>
      <c r="G104" s="11" t="s">
        <v>36</v>
      </c>
      <c r="H104" s="11">
        <v>1.0</v>
      </c>
      <c r="I104" s="29"/>
      <c r="J104" s="29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</row>
    <row r="105" ht="86.25" customHeight="1">
      <c r="A105" s="43"/>
      <c r="B105" s="27" t="s">
        <v>138</v>
      </c>
      <c r="C105" s="28" t="s">
        <v>139</v>
      </c>
      <c r="D105" s="28" t="s">
        <v>140</v>
      </c>
      <c r="E105" s="28" t="s">
        <v>85</v>
      </c>
      <c r="F105" s="28" t="s">
        <v>141</v>
      </c>
      <c r="G105" s="11" t="s">
        <v>36</v>
      </c>
      <c r="H105" s="11">
        <v>1.0</v>
      </c>
      <c r="I105" s="29"/>
      <c r="J105" s="29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</row>
    <row r="106" ht="11.25" customHeight="1">
      <c r="A106" s="38"/>
      <c r="B106" s="38" t="s">
        <v>630</v>
      </c>
      <c r="C106" s="37"/>
      <c r="D106" s="29"/>
      <c r="E106" s="29"/>
      <c r="F106" s="37"/>
      <c r="G106" s="37"/>
      <c r="H106" s="37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</row>
    <row r="107" ht="11.25" customHeight="1">
      <c r="A107" s="29"/>
      <c r="B107" s="29"/>
      <c r="C107" s="37"/>
      <c r="D107" s="29"/>
      <c r="E107" s="29"/>
      <c r="F107" s="37"/>
      <c r="G107" s="37"/>
      <c r="H107" s="37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</row>
    <row r="108" ht="11.25" customHeight="1">
      <c r="A108" s="29"/>
      <c r="B108" s="29"/>
      <c r="C108" s="37"/>
      <c r="D108" s="29"/>
      <c r="E108" s="29"/>
      <c r="F108" s="37"/>
      <c r="G108" s="37"/>
      <c r="H108" s="37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</row>
    <row r="109" ht="11.25" customHeight="1">
      <c r="A109" s="29"/>
      <c r="B109" s="29"/>
      <c r="C109" s="37"/>
      <c r="D109" s="29"/>
      <c r="E109" s="29"/>
      <c r="F109" s="37"/>
      <c r="G109" s="37"/>
      <c r="H109" s="37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</row>
    <row r="110" ht="11.25" customHeight="1">
      <c r="A110" s="29"/>
      <c r="B110" s="29"/>
      <c r="C110" s="37"/>
      <c r="D110" s="29"/>
      <c r="E110" s="29"/>
      <c r="F110" s="37"/>
      <c r="G110" s="37"/>
      <c r="H110" s="37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</row>
    <row r="111" ht="11.25" customHeight="1">
      <c r="A111" s="29"/>
      <c r="B111" s="29"/>
      <c r="C111" s="37"/>
      <c r="D111" s="29"/>
      <c r="E111" s="29"/>
      <c r="F111" s="37"/>
      <c r="G111" s="37"/>
      <c r="H111" s="37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</row>
    <row r="112" ht="11.25" customHeight="1">
      <c r="A112" s="29"/>
      <c r="B112" s="29"/>
      <c r="C112" s="37"/>
      <c r="D112" s="29"/>
      <c r="E112" s="29"/>
      <c r="F112" s="37"/>
      <c r="G112" s="37"/>
      <c r="H112" s="37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</row>
    <row r="113" ht="11.25" customHeight="1">
      <c r="A113" s="29"/>
      <c r="B113" s="29"/>
      <c r="C113" s="37"/>
      <c r="D113" s="29"/>
      <c r="E113" s="29"/>
      <c r="F113" s="37"/>
      <c r="G113" s="37"/>
      <c r="H113" s="37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</row>
    <row r="114" ht="11.25" customHeight="1">
      <c r="A114" s="29"/>
      <c r="B114" s="29"/>
      <c r="C114" s="37"/>
      <c r="D114" s="29"/>
      <c r="E114" s="29"/>
      <c r="F114" s="37"/>
      <c r="G114" s="37"/>
      <c r="H114" s="37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</row>
    <row r="115" ht="11.25" customHeight="1">
      <c r="A115" s="29"/>
      <c r="B115" s="29"/>
      <c r="C115" s="37"/>
      <c r="D115" s="29"/>
      <c r="E115" s="29"/>
      <c r="F115" s="37"/>
      <c r="G115" s="37"/>
      <c r="H115" s="37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</row>
    <row r="116" ht="11.25" customHeight="1">
      <c r="A116" s="29"/>
      <c r="B116" s="29"/>
      <c r="C116" s="37"/>
      <c r="D116" s="29"/>
      <c r="E116" s="29"/>
      <c r="F116" s="37"/>
      <c r="G116" s="37"/>
      <c r="H116" s="37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</row>
    <row r="117" ht="11.25" customHeight="1">
      <c r="A117" s="29"/>
      <c r="B117" s="29"/>
      <c r="C117" s="37"/>
      <c r="D117" s="29"/>
      <c r="E117" s="29"/>
      <c r="F117" s="37"/>
      <c r="G117" s="37"/>
      <c r="H117" s="37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</row>
    <row r="118" ht="11.25" customHeight="1">
      <c r="A118" s="29"/>
      <c r="B118" s="29"/>
      <c r="C118" s="37"/>
      <c r="D118" s="29"/>
      <c r="E118" s="29"/>
      <c r="F118" s="37"/>
      <c r="G118" s="37"/>
      <c r="H118" s="37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</row>
    <row r="119" ht="11.25" customHeight="1">
      <c r="A119" s="29"/>
      <c r="B119" s="29"/>
      <c r="C119" s="37"/>
      <c r="D119" s="29"/>
      <c r="E119" s="29"/>
      <c r="F119" s="37"/>
      <c r="G119" s="37"/>
      <c r="H119" s="37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</row>
    <row r="120" ht="11.25" customHeight="1">
      <c r="A120" s="29"/>
      <c r="B120" s="29"/>
      <c r="C120" s="37"/>
      <c r="D120" s="29"/>
      <c r="E120" s="29"/>
      <c r="F120" s="37"/>
      <c r="G120" s="37"/>
      <c r="H120" s="37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</row>
    <row r="121" ht="11.25" customHeight="1">
      <c r="A121" s="29"/>
      <c r="B121" s="29"/>
      <c r="C121" s="37"/>
      <c r="D121" s="29"/>
      <c r="E121" s="29"/>
      <c r="F121" s="37"/>
      <c r="G121" s="37"/>
      <c r="H121" s="37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</row>
    <row r="122" ht="11.25" customHeight="1">
      <c r="A122" s="29"/>
      <c r="B122" s="29"/>
      <c r="C122" s="37"/>
      <c r="D122" s="29"/>
      <c r="E122" s="29"/>
      <c r="F122" s="37"/>
      <c r="G122" s="37"/>
      <c r="H122" s="37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</row>
    <row r="123" ht="11.25" customHeight="1">
      <c r="A123" s="29"/>
      <c r="B123" s="29"/>
      <c r="C123" s="37"/>
      <c r="D123" s="29"/>
      <c r="E123" s="29"/>
      <c r="F123" s="37"/>
      <c r="G123" s="37"/>
      <c r="H123" s="37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</row>
    <row r="124" ht="11.25" customHeight="1">
      <c r="A124" s="29"/>
      <c r="B124" s="29"/>
      <c r="C124" s="37"/>
      <c r="D124" s="29"/>
      <c r="E124" s="29"/>
      <c r="F124" s="37"/>
      <c r="G124" s="37"/>
      <c r="H124" s="37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</row>
    <row r="125" ht="11.25" customHeight="1">
      <c r="A125" s="29"/>
      <c r="B125" s="29"/>
      <c r="C125" s="37"/>
      <c r="D125" s="29"/>
      <c r="E125" s="29"/>
      <c r="F125" s="37"/>
      <c r="G125" s="37"/>
      <c r="H125" s="37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</row>
    <row r="126" ht="11.25" customHeight="1">
      <c r="A126" s="29"/>
      <c r="B126" s="29"/>
      <c r="C126" s="37"/>
      <c r="D126" s="29"/>
      <c r="E126" s="29"/>
      <c r="F126" s="37"/>
      <c r="G126" s="37"/>
      <c r="H126" s="37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</row>
    <row r="127" ht="11.25" customHeight="1">
      <c r="A127" s="29"/>
      <c r="B127" s="29"/>
      <c r="C127" s="37"/>
      <c r="D127" s="29"/>
      <c r="E127" s="29"/>
      <c r="F127" s="37"/>
      <c r="G127" s="37"/>
      <c r="H127" s="37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</row>
    <row r="128" ht="11.25" customHeight="1">
      <c r="A128" s="29"/>
      <c r="B128" s="29"/>
      <c r="C128" s="37"/>
      <c r="D128" s="29"/>
      <c r="E128" s="29"/>
      <c r="F128" s="37"/>
      <c r="G128" s="37"/>
      <c r="H128" s="37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</row>
    <row r="129" ht="11.25" customHeight="1">
      <c r="A129" s="29"/>
      <c r="B129" s="29"/>
      <c r="C129" s="37"/>
      <c r="D129" s="29"/>
      <c r="E129" s="29"/>
      <c r="F129" s="37"/>
      <c r="G129" s="37"/>
      <c r="H129" s="37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</row>
    <row r="130" ht="11.25" customHeight="1">
      <c r="A130" s="29"/>
      <c r="B130" s="29"/>
      <c r="C130" s="37"/>
      <c r="D130" s="29"/>
      <c r="E130" s="29"/>
      <c r="F130" s="37"/>
      <c r="G130" s="37"/>
      <c r="H130" s="37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</row>
    <row r="131" ht="11.25" customHeight="1">
      <c r="A131" s="29"/>
      <c r="B131" s="29"/>
      <c r="C131" s="37"/>
      <c r="D131" s="29"/>
      <c r="E131" s="29"/>
      <c r="F131" s="37"/>
      <c r="G131" s="37"/>
      <c r="H131" s="37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</row>
    <row r="132" ht="11.25" customHeight="1">
      <c r="A132" s="29"/>
      <c r="B132" s="29"/>
      <c r="C132" s="37"/>
      <c r="D132" s="29"/>
      <c r="E132" s="29"/>
      <c r="F132" s="37"/>
      <c r="G132" s="37"/>
      <c r="H132" s="37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</row>
    <row r="133" ht="11.25" customHeight="1">
      <c r="A133" s="29"/>
      <c r="B133" s="29"/>
      <c r="C133" s="37"/>
      <c r="D133" s="29"/>
      <c r="E133" s="29"/>
      <c r="F133" s="37"/>
      <c r="G133" s="37"/>
      <c r="H133" s="37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</row>
    <row r="134" ht="11.25" customHeight="1">
      <c r="A134" s="29"/>
      <c r="B134" s="29"/>
      <c r="C134" s="37"/>
      <c r="D134" s="29"/>
      <c r="E134" s="29"/>
      <c r="F134" s="37"/>
      <c r="G134" s="37"/>
      <c r="H134" s="37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</row>
    <row r="135" ht="11.25" customHeight="1">
      <c r="A135" s="29"/>
      <c r="B135" s="29"/>
      <c r="C135" s="37"/>
      <c r="D135" s="29"/>
      <c r="E135" s="29"/>
      <c r="F135" s="37"/>
      <c r="G135" s="37"/>
      <c r="H135" s="37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</row>
    <row r="136" ht="11.25" customHeight="1">
      <c r="A136" s="29"/>
      <c r="B136" s="29"/>
      <c r="C136" s="37"/>
      <c r="D136" s="29"/>
      <c r="E136" s="29"/>
      <c r="F136" s="37"/>
      <c r="G136" s="37"/>
      <c r="H136" s="37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</row>
    <row r="137" ht="11.25" customHeight="1">
      <c r="A137" s="29"/>
      <c r="B137" s="29"/>
      <c r="C137" s="37"/>
      <c r="D137" s="29"/>
      <c r="E137" s="29"/>
      <c r="F137" s="37"/>
      <c r="G137" s="37"/>
      <c r="H137" s="37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</row>
    <row r="138" ht="11.25" customHeight="1">
      <c r="A138" s="29"/>
      <c r="B138" s="29"/>
      <c r="C138" s="37"/>
      <c r="D138" s="29"/>
      <c r="E138" s="29"/>
      <c r="F138" s="37"/>
      <c r="G138" s="37"/>
      <c r="H138" s="37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</row>
    <row r="139" ht="11.25" customHeight="1">
      <c r="A139" s="29"/>
      <c r="B139" s="29"/>
      <c r="C139" s="37"/>
      <c r="D139" s="29"/>
      <c r="E139" s="29"/>
      <c r="F139" s="37"/>
      <c r="G139" s="37"/>
      <c r="H139" s="37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</row>
    <row r="140" ht="11.25" customHeight="1">
      <c r="A140" s="29"/>
      <c r="B140" s="29"/>
      <c r="C140" s="37"/>
      <c r="D140" s="29"/>
      <c r="E140" s="29"/>
      <c r="F140" s="37"/>
      <c r="G140" s="37"/>
      <c r="H140" s="37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</row>
    <row r="141" ht="11.25" customHeight="1">
      <c r="A141" s="29"/>
      <c r="B141" s="29"/>
      <c r="C141" s="37"/>
      <c r="D141" s="29"/>
      <c r="E141" s="29"/>
      <c r="F141" s="37"/>
      <c r="G141" s="37"/>
      <c r="H141" s="37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</row>
    <row r="142" ht="11.25" customHeight="1">
      <c r="A142" s="29"/>
      <c r="B142" s="29"/>
      <c r="C142" s="37"/>
      <c r="D142" s="29"/>
      <c r="E142" s="29"/>
      <c r="F142" s="37"/>
      <c r="G142" s="37"/>
      <c r="H142" s="37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</row>
    <row r="143" ht="11.25" customHeight="1">
      <c r="A143" s="29"/>
      <c r="B143" s="29"/>
      <c r="C143" s="37"/>
      <c r="D143" s="29"/>
      <c r="E143" s="29"/>
      <c r="F143" s="37"/>
      <c r="G143" s="37"/>
      <c r="H143" s="37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</row>
    <row r="144" ht="11.25" customHeight="1">
      <c r="A144" s="29"/>
      <c r="B144" s="29"/>
      <c r="C144" s="37"/>
      <c r="D144" s="29"/>
      <c r="E144" s="29"/>
      <c r="F144" s="37"/>
      <c r="G144" s="37"/>
      <c r="H144" s="37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</row>
    <row r="145" ht="11.25" customHeight="1">
      <c r="A145" s="29"/>
      <c r="B145" s="29"/>
      <c r="C145" s="37"/>
      <c r="D145" s="29"/>
      <c r="E145" s="29"/>
      <c r="F145" s="37"/>
      <c r="G145" s="37"/>
      <c r="H145" s="37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</row>
    <row r="146" ht="11.25" customHeight="1">
      <c r="A146" s="29"/>
      <c r="B146" s="29"/>
      <c r="C146" s="37"/>
      <c r="D146" s="29"/>
      <c r="E146" s="29"/>
      <c r="F146" s="37"/>
      <c r="G146" s="37"/>
      <c r="H146" s="37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</row>
    <row r="147" ht="11.25" customHeight="1">
      <c r="A147" s="29"/>
      <c r="B147" s="29"/>
      <c r="C147" s="37"/>
      <c r="D147" s="29"/>
      <c r="E147" s="29"/>
      <c r="F147" s="37"/>
      <c r="G147" s="37"/>
      <c r="H147" s="37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</row>
    <row r="148" ht="11.25" customHeight="1">
      <c r="A148" s="29"/>
      <c r="B148" s="29"/>
      <c r="C148" s="37"/>
      <c r="D148" s="29"/>
      <c r="E148" s="29"/>
      <c r="F148" s="37"/>
      <c r="G148" s="37"/>
      <c r="H148" s="37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</row>
    <row r="149" ht="11.25" customHeight="1">
      <c r="A149" s="29"/>
      <c r="B149" s="29"/>
      <c r="C149" s="37"/>
      <c r="D149" s="29"/>
      <c r="E149" s="29"/>
      <c r="F149" s="37"/>
      <c r="G149" s="37"/>
      <c r="H149" s="37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</row>
    <row r="150" ht="11.25" customHeight="1">
      <c r="A150" s="29"/>
      <c r="B150" s="29"/>
      <c r="C150" s="37"/>
      <c r="D150" s="29"/>
      <c r="E150" s="29"/>
      <c r="F150" s="37"/>
      <c r="G150" s="37"/>
      <c r="H150" s="37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</row>
    <row r="151" ht="11.25" customHeight="1">
      <c r="A151" s="29"/>
      <c r="B151" s="29"/>
      <c r="C151" s="37"/>
      <c r="D151" s="29"/>
      <c r="E151" s="29"/>
      <c r="F151" s="37"/>
      <c r="G151" s="37"/>
      <c r="H151" s="37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</row>
    <row r="152" ht="11.25" customHeight="1">
      <c r="A152" s="29"/>
      <c r="B152" s="29"/>
      <c r="C152" s="37"/>
      <c r="D152" s="29"/>
      <c r="E152" s="29"/>
      <c r="F152" s="37"/>
      <c r="G152" s="37"/>
      <c r="H152" s="37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</row>
    <row r="153" ht="11.25" customHeight="1">
      <c r="A153" s="29"/>
      <c r="B153" s="29"/>
      <c r="C153" s="37"/>
      <c r="D153" s="29"/>
      <c r="E153" s="29"/>
      <c r="F153" s="37"/>
      <c r="G153" s="37"/>
      <c r="H153" s="37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</row>
    <row r="154" ht="11.25" customHeight="1">
      <c r="A154" s="29"/>
      <c r="B154" s="29"/>
      <c r="C154" s="37"/>
      <c r="D154" s="29"/>
      <c r="E154" s="29"/>
      <c r="F154" s="37"/>
      <c r="G154" s="37"/>
      <c r="H154" s="37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</row>
    <row r="155" ht="11.25" customHeight="1">
      <c r="A155" s="29"/>
      <c r="B155" s="29"/>
      <c r="C155" s="37"/>
      <c r="D155" s="29"/>
      <c r="E155" s="29"/>
      <c r="F155" s="37"/>
      <c r="G155" s="37"/>
      <c r="H155" s="37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</row>
    <row r="156" ht="11.25" customHeight="1">
      <c r="A156" s="29"/>
      <c r="B156" s="29"/>
      <c r="C156" s="37"/>
      <c r="D156" s="29"/>
      <c r="E156" s="29"/>
      <c r="F156" s="37"/>
      <c r="G156" s="37"/>
      <c r="H156" s="37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</row>
    <row r="157" ht="11.25" customHeight="1">
      <c r="A157" s="29"/>
      <c r="B157" s="29"/>
      <c r="C157" s="37"/>
      <c r="D157" s="29"/>
      <c r="E157" s="29"/>
      <c r="F157" s="37"/>
      <c r="G157" s="37"/>
      <c r="H157" s="37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</row>
    <row r="158" ht="11.25" customHeight="1">
      <c r="A158" s="29"/>
      <c r="B158" s="29"/>
      <c r="C158" s="37"/>
      <c r="D158" s="29"/>
      <c r="E158" s="29"/>
      <c r="F158" s="37"/>
      <c r="G158" s="37"/>
      <c r="H158" s="37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</row>
    <row r="159" ht="11.25" customHeight="1">
      <c r="A159" s="29"/>
      <c r="B159" s="29"/>
      <c r="C159" s="37"/>
      <c r="D159" s="29"/>
      <c r="E159" s="29"/>
      <c r="F159" s="37"/>
      <c r="G159" s="37"/>
      <c r="H159" s="37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</row>
    <row r="160" ht="11.25" customHeight="1">
      <c r="A160" s="29"/>
      <c r="B160" s="29"/>
      <c r="C160" s="37"/>
      <c r="D160" s="29"/>
      <c r="E160" s="29"/>
      <c r="F160" s="37"/>
      <c r="G160" s="37"/>
      <c r="H160" s="37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</row>
    <row r="161" ht="11.25" customHeight="1">
      <c r="A161" s="29"/>
      <c r="B161" s="29"/>
      <c r="C161" s="37"/>
      <c r="D161" s="29"/>
      <c r="E161" s="29"/>
      <c r="F161" s="37"/>
      <c r="G161" s="37"/>
      <c r="H161" s="37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</row>
    <row r="162" ht="11.25" customHeight="1">
      <c r="A162" s="29"/>
      <c r="B162" s="29"/>
      <c r="C162" s="37"/>
      <c r="D162" s="29"/>
      <c r="E162" s="29"/>
      <c r="F162" s="37"/>
      <c r="G162" s="37"/>
      <c r="H162" s="37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</row>
    <row r="163" ht="11.25" customHeight="1">
      <c r="A163" s="29"/>
      <c r="B163" s="29"/>
      <c r="C163" s="37"/>
      <c r="D163" s="29"/>
      <c r="E163" s="29"/>
      <c r="F163" s="37"/>
      <c r="G163" s="37"/>
      <c r="H163" s="37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</row>
    <row r="164" ht="11.25" customHeight="1">
      <c r="A164" s="29"/>
      <c r="B164" s="29"/>
      <c r="C164" s="37"/>
      <c r="D164" s="29"/>
      <c r="E164" s="29"/>
      <c r="F164" s="37"/>
      <c r="G164" s="37"/>
      <c r="H164" s="37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</row>
    <row r="165" ht="11.25" customHeight="1">
      <c r="A165" s="29"/>
      <c r="B165" s="29"/>
      <c r="C165" s="37"/>
      <c r="D165" s="29"/>
      <c r="E165" s="29"/>
      <c r="F165" s="37"/>
      <c r="G165" s="37"/>
      <c r="H165" s="37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</row>
    <row r="166" ht="11.25" customHeight="1">
      <c r="A166" s="29"/>
      <c r="B166" s="29"/>
      <c r="C166" s="37"/>
      <c r="D166" s="29"/>
      <c r="E166" s="29"/>
      <c r="F166" s="37"/>
      <c r="G166" s="37"/>
      <c r="H166" s="37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</row>
    <row r="167" ht="11.25" customHeight="1">
      <c r="A167" s="29"/>
      <c r="B167" s="29"/>
      <c r="C167" s="37"/>
      <c r="D167" s="29"/>
      <c r="E167" s="29"/>
      <c r="F167" s="37"/>
      <c r="G167" s="37"/>
      <c r="H167" s="37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</row>
    <row r="168" ht="11.25" customHeight="1">
      <c r="A168" s="29"/>
      <c r="B168" s="29"/>
      <c r="C168" s="37"/>
      <c r="D168" s="29"/>
      <c r="E168" s="29"/>
      <c r="F168" s="37"/>
      <c r="G168" s="37"/>
      <c r="H168" s="37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</row>
    <row r="169" ht="11.25" customHeight="1">
      <c r="A169" s="29"/>
      <c r="B169" s="29"/>
      <c r="C169" s="37"/>
      <c r="D169" s="29"/>
      <c r="E169" s="29"/>
      <c r="F169" s="37"/>
      <c r="G169" s="37"/>
      <c r="H169" s="37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</row>
    <row r="170" ht="11.25" customHeight="1">
      <c r="A170" s="29"/>
      <c r="B170" s="29"/>
      <c r="C170" s="37"/>
      <c r="D170" s="29"/>
      <c r="E170" s="29"/>
      <c r="F170" s="37"/>
      <c r="G170" s="37"/>
      <c r="H170" s="37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</row>
    <row r="171" ht="11.25" customHeight="1">
      <c r="A171" s="29"/>
      <c r="B171" s="29"/>
      <c r="C171" s="37"/>
      <c r="D171" s="29"/>
      <c r="E171" s="29"/>
      <c r="F171" s="37"/>
      <c r="G171" s="37"/>
      <c r="H171" s="37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</row>
    <row r="172" ht="11.25" customHeight="1">
      <c r="A172" s="29"/>
      <c r="B172" s="29"/>
      <c r="C172" s="37"/>
      <c r="D172" s="29"/>
      <c r="E172" s="29"/>
      <c r="F172" s="37"/>
      <c r="G172" s="37"/>
      <c r="H172" s="37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</row>
    <row r="173" ht="11.25" customHeight="1">
      <c r="A173" s="29"/>
      <c r="B173" s="29"/>
      <c r="C173" s="37"/>
      <c r="D173" s="29"/>
      <c r="E173" s="29"/>
      <c r="F173" s="37"/>
      <c r="G173" s="37"/>
      <c r="H173" s="37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</row>
    <row r="174" ht="11.25" customHeight="1">
      <c r="A174" s="29"/>
      <c r="B174" s="29"/>
      <c r="C174" s="37"/>
      <c r="D174" s="29"/>
      <c r="E174" s="29"/>
      <c r="F174" s="37"/>
      <c r="G174" s="37"/>
      <c r="H174" s="37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</row>
    <row r="175" ht="11.25" customHeight="1">
      <c r="A175" s="29"/>
      <c r="B175" s="29"/>
      <c r="C175" s="37"/>
      <c r="D175" s="29"/>
      <c r="E175" s="29"/>
      <c r="F175" s="37"/>
      <c r="G175" s="37"/>
      <c r="H175" s="37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</row>
    <row r="176" ht="11.25" customHeight="1">
      <c r="A176" s="29"/>
      <c r="B176" s="29"/>
      <c r="C176" s="37"/>
      <c r="D176" s="29"/>
      <c r="E176" s="29"/>
      <c r="F176" s="37"/>
      <c r="G176" s="37"/>
      <c r="H176" s="37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</row>
    <row r="177" ht="11.25" customHeight="1">
      <c r="A177" s="29"/>
      <c r="B177" s="29"/>
      <c r="C177" s="37"/>
      <c r="D177" s="29"/>
      <c r="E177" s="29"/>
      <c r="F177" s="37"/>
      <c r="G177" s="37"/>
      <c r="H177" s="37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</row>
    <row r="178" ht="11.25" customHeight="1">
      <c r="A178" s="29"/>
      <c r="B178" s="29"/>
      <c r="C178" s="37"/>
      <c r="D178" s="29"/>
      <c r="E178" s="29"/>
      <c r="F178" s="37"/>
      <c r="G178" s="37"/>
      <c r="H178" s="37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</row>
    <row r="179" ht="11.25" customHeight="1">
      <c r="A179" s="29"/>
      <c r="B179" s="29"/>
      <c r="C179" s="37"/>
      <c r="D179" s="29"/>
      <c r="E179" s="29"/>
      <c r="F179" s="37"/>
      <c r="G179" s="37"/>
      <c r="H179" s="37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</row>
    <row r="180" ht="11.25" customHeight="1">
      <c r="A180" s="29"/>
      <c r="B180" s="29"/>
      <c r="C180" s="37"/>
      <c r="D180" s="29"/>
      <c r="E180" s="29"/>
      <c r="F180" s="37"/>
      <c r="G180" s="37"/>
      <c r="H180" s="37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</row>
    <row r="181" ht="11.25" customHeight="1">
      <c r="A181" s="29"/>
      <c r="B181" s="29"/>
      <c r="C181" s="37"/>
      <c r="D181" s="29"/>
      <c r="E181" s="29"/>
      <c r="F181" s="37"/>
      <c r="G181" s="37"/>
      <c r="H181" s="37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</row>
    <row r="182" ht="11.25" customHeight="1">
      <c r="A182" s="29"/>
      <c r="B182" s="29"/>
      <c r="C182" s="37"/>
      <c r="D182" s="29"/>
      <c r="E182" s="29"/>
      <c r="F182" s="37"/>
      <c r="G182" s="37"/>
      <c r="H182" s="37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</row>
    <row r="183" ht="11.25" customHeight="1">
      <c r="A183" s="29"/>
      <c r="B183" s="29"/>
      <c r="C183" s="37"/>
      <c r="D183" s="29"/>
      <c r="E183" s="29"/>
      <c r="F183" s="37"/>
      <c r="G183" s="37"/>
      <c r="H183" s="37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</row>
    <row r="184" ht="11.25" customHeight="1">
      <c r="A184" s="29"/>
      <c r="B184" s="29"/>
      <c r="C184" s="37"/>
      <c r="D184" s="29"/>
      <c r="E184" s="29"/>
      <c r="F184" s="37"/>
      <c r="G184" s="37"/>
      <c r="H184" s="37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</row>
    <row r="185" ht="11.25" customHeight="1">
      <c r="A185" s="29"/>
      <c r="B185" s="29"/>
      <c r="C185" s="37"/>
      <c r="D185" s="29"/>
      <c r="E185" s="29"/>
      <c r="F185" s="37"/>
      <c r="G185" s="37"/>
      <c r="H185" s="37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</row>
    <row r="186" ht="11.25" customHeight="1">
      <c r="A186" s="29"/>
      <c r="B186" s="29"/>
      <c r="C186" s="37"/>
      <c r="D186" s="29"/>
      <c r="E186" s="29"/>
      <c r="F186" s="37"/>
      <c r="G186" s="37"/>
      <c r="H186" s="37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</row>
    <row r="187" ht="11.25" customHeight="1">
      <c r="A187" s="29"/>
      <c r="B187" s="29"/>
      <c r="C187" s="37"/>
      <c r="D187" s="29"/>
      <c r="E187" s="29"/>
      <c r="F187" s="37"/>
      <c r="G187" s="37"/>
      <c r="H187" s="37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</row>
    <row r="188" ht="11.25" customHeight="1">
      <c r="A188" s="29"/>
      <c r="B188" s="29"/>
      <c r="C188" s="37"/>
      <c r="D188" s="29"/>
      <c r="E188" s="29"/>
      <c r="F188" s="37"/>
      <c r="G188" s="37"/>
      <c r="H188" s="37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</row>
    <row r="189" ht="11.25" customHeight="1">
      <c r="A189" s="29"/>
      <c r="B189" s="29"/>
      <c r="C189" s="37"/>
      <c r="D189" s="29"/>
      <c r="E189" s="29"/>
      <c r="F189" s="37"/>
      <c r="G189" s="37"/>
      <c r="H189" s="37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</row>
    <row r="190" ht="11.25" customHeight="1">
      <c r="A190" s="29"/>
      <c r="B190" s="29"/>
      <c r="C190" s="37"/>
      <c r="D190" s="29"/>
      <c r="E190" s="29"/>
      <c r="F190" s="37"/>
      <c r="G190" s="37"/>
      <c r="H190" s="37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</row>
    <row r="191" ht="11.25" customHeight="1">
      <c r="A191" s="29"/>
      <c r="B191" s="29"/>
      <c r="C191" s="37"/>
      <c r="D191" s="29"/>
      <c r="E191" s="29"/>
      <c r="F191" s="37"/>
      <c r="G191" s="37"/>
      <c r="H191" s="37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</row>
    <row r="192" ht="11.25" customHeight="1">
      <c r="A192" s="29"/>
      <c r="B192" s="29"/>
      <c r="C192" s="37"/>
      <c r="D192" s="29"/>
      <c r="E192" s="29"/>
      <c r="F192" s="37"/>
      <c r="G192" s="37"/>
      <c r="H192" s="37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</row>
    <row r="193" ht="11.25" customHeight="1">
      <c r="A193" s="29"/>
      <c r="B193" s="29"/>
      <c r="C193" s="37"/>
      <c r="D193" s="29"/>
      <c r="E193" s="29"/>
      <c r="F193" s="37"/>
      <c r="G193" s="37"/>
      <c r="H193" s="37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</row>
    <row r="194" ht="11.25" customHeight="1">
      <c r="A194" s="29"/>
      <c r="B194" s="29"/>
      <c r="C194" s="37"/>
      <c r="D194" s="29"/>
      <c r="E194" s="29"/>
      <c r="F194" s="37"/>
      <c r="G194" s="37"/>
      <c r="H194" s="37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</row>
    <row r="195" ht="11.25" customHeight="1">
      <c r="A195" s="29"/>
      <c r="B195" s="29"/>
      <c r="C195" s="37"/>
      <c r="D195" s="29"/>
      <c r="E195" s="29"/>
      <c r="F195" s="37"/>
      <c r="G195" s="37"/>
      <c r="H195" s="37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</row>
    <row r="196" ht="11.25" customHeight="1">
      <c r="A196" s="29"/>
      <c r="B196" s="29"/>
      <c r="C196" s="37"/>
      <c r="D196" s="29"/>
      <c r="E196" s="29"/>
      <c r="F196" s="37"/>
      <c r="G196" s="37"/>
      <c r="H196" s="37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</row>
    <row r="197" ht="11.25" customHeight="1">
      <c r="A197" s="29"/>
      <c r="B197" s="29"/>
      <c r="C197" s="37"/>
      <c r="D197" s="29"/>
      <c r="E197" s="29"/>
      <c r="F197" s="37"/>
      <c r="G197" s="37"/>
      <c r="H197" s="37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</row>
    <row r="198" ht="11.25" customHeight="1">
      <c r="A198" s="29"/>
      <c r="B198" s="29"/>
      <c r="C198" s="37"/>
      <c r="D198" s="29"/>
      <c r="E198" s="29"/>
      <c r="F198" s="37"/>
      <c r="G198" s="37"/>
      <c r="H198" s="37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</row>
    <row r="199" ht="11.25" customHeight="1">
      <c r="A199" s="29"/>
      <c r="B199" s="29"/>
      <c r="C199" s="37"/>
      <c r="D199" s="29"/>
      <c r="E199" s="29"/>
      <c r="F199" s="37"/>
      <c r="G199" s="37"/>
      <c r="H199" s="37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</row>
    <row r="200" ht="11.25" customHeight="1">
      <c r="A200" s="29"/>
      <c r="B200" s="29"/>
      <c r="C200" s="37"/>
      <c r="D200" s="29"/>
      <c r="E200" s="29"/>
      <c r="F200" s="37"/>
      <c r="G200" s="37"/>
      <c r="H200" s="37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</row>
    <row r="201" ht="11.25" customHeight="1">
      <c r="A201" s="29"/>
      <c r="B201" s="29"/>
      <c r="C201" s="37"/>
      <c r="D201" s="29"/>
      <c r="E201" s="29"/>
      <c r="F201" s="37"/>
      <c r="G201" s="37"/>
      <c r="H201" s="37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</row>
    <row r="202" ht="11.25" customHeight="1">
      <c r="A202" s="29"/>
      <c r="B202" s="29"/>
      <c r="C202" s="37"/>
      <c r="D202" s="29"/>
      <c r="E202" s="29"/>
      <c r="F202" s="37"/>
      <c r="G202" s="37"/>
      <c r="H202" s="37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</row>
    <row r="203" ht="11.25" customHeight="1">
      <c r="A203" s="29"/>
      <c r="B203" s="29"/>
      <c r="C203" s="37"/>
      <c r="D203" s="29"/>
      <c r="E203" s="29"/>
      <c r="F203" s="37"/>
      <c r="G203" s="37"/>
      <c r="H203" s="37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</row>
    <row r="204" ht="11.25" customHeight="1">
      <c r="A204" s="29"/>
      <c r="B204" s="29"/>
      <c r="C204" s="37"/>
      <c r="D204" s="29"/>
      <c r="E204" s="29"/>
      <c r="F204" s="37"/>
      <c r="G204" s="37"/>
      <c r="H204" s="37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</row>
    <row r="205" ht="11.25" customHeight="1">
      <c r="A205" s="29"/>
      <c r="B205" s="29"/>
      <c r="C205" s="37"/>
      <c r="D205" s="29"/>
      <c r="E205" s="29"/>
      <c r="F205" s="37"/>
      <c r="G205" s="37"/>
      <c r="H205" s="37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</row>
    <row r="206" ht="11.25" customHeight="1">
      <c r="A206" s="29"/>
      <c r="B206" s="29"/>
      <c r="C206" s="37"/>
      <c r="D206" s="29"/>
      <c r="E206" s="29"/>
      <c r="F206" s="37"/>
      <c r="G206" s="37"/>
      <c r="H206" s="37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</row>
    <row r="207" ht="11.25" customHeight="1">
      <c r="A207" s="29"/>
      <c r="B207" s="29"/>
      <c r="C207" s="37"/>
      <c r="D207" s="29"/>
      <c r="E207" s="29"/>
      <c r="F207" s="37"/>
      <c r="G207" s="37"/>
      <c r="H207" s="37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</row>
    <row r="208" ht="11.25" customHeight="1">
      <c r="A208" s="29"/>
      <c r="B208" s="29"/>
      <c r="C208" s="37"/>
      <c r="D208" s="29"/>
      <c r="E208" s="29"/>
      <c r="F208" s="37"/>
      <c r="G208" s="37"/>
      <c r="H208" s="37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</row>
    <row r="209" ht="11.25" customHeight="1">
      <c r="A209" s="29"/>
      <c r="B209" s="29"/>
      <c r="C209" s="37"/>
      <c r="D209" s="29"/>
      <c r="E209" s="29"/>
      <c r="F209" s="37"/>
      <c r="G209" s="37"/>
      <c r="H209" s="37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</row>
    <row r="210" ht="11.25" customHeight="1">
      <c r="A210" s="29"/>
      <c r="B210" s="29"/>
      <c r="C210" s="37"/>
      <c r="D210" s="29"/>
      <c r="E210" s="29"/>
      <c r="F210" s="37"/>
      <c r="G210" s="37"/>
      <c r="H210" s="37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</row>
    <row r="211" ht="11.25" customHeight="1">
      <c r="A211" s="29"/>
      <c r="B211" s="29"/>
      <c r="C211" s="37"/>
      <c r="D211" s="29"/>
      <c r="E211" s="29"/>
      <c r="F211" s="37"/>
      <c r="G211" s="37"/>
      <c r="H211" s="37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</row>
    <row r="212" ht="11.25" customHeight="1">
      <c r="A212" s="29"/>
      <c r="B212" s="29"/>
      <c r="C212" s="37"/>
      <c r="D212" s="29"/>
      <c r="E212" s="29"/>
      <c r="F212" s="37"/>
      <c r="G212" s="37"/>
      <c r="H212" s="37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</row>
    <row r="213" ht="11.25" customHeight="1">
      <c r="A213" s="29"/>
      <c r="B213" s="29"/>
      <c r="C213" s="37"/>
      <c r="D213" s="29"/>
      <c r="E213" s="29"/>
      <c r="F213" s="37"/>
      <c r="G213" s="37"/>
      <c r="H213" s="37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</row>
    <row r="214" ht="11.25" customHeight="1">
      <c r="A214" s="29"/>
      <c r="B214" s="29"/>
      <c r="C214" s="37"/>
      <c r="D214" s="29"/>
      <c r="E214" s="29"/>
      <c r="F214" s="37"/>
      <c r="G214" s="37"/>
      <c r="H214" s="37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</row>
    <row r="215" ht="11.25" customHeight="1">
      <c r="A215" s="29"/>
      <c r="B215" s="29"/>
      <c r="C215" s="37"/>
      <c r="D215" s="29"/>
      <c r="E215" s="29"/>
      <c r="F215" s="37"/>
      <c r="G215" s="37"/>
      <c r="H215" s="37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</row>
    <row r="216" ht="11.25" customHeight="1">
      <c r="A216" s="29"/>
      <c r="B216" s="29"/>
      <c r="C216" s="37"/>
      <c r="D216" s="29"/>
      <c r="E216" s="29"/>
      <c r="F216" s="37"/>
      <c r="G216" s="37"/>
      <c r="H216" s="37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</row>
    <row r="217" ht="11.25" customHeight="1">
      <c r="A217" s="29"/>
      <c r="B217" s="29"/>
      <c r="C217" s="37"/>
      <c r="D217" s="29"/>
      <c r="E217" s="29"/>
      <c r="F217" s="37"/>
      <c r="G217" s="37"/>
      <c r="H217" s="37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</row>
    <row r="218" ht="11.25" customHeight="1">
      <c r="A218" s="29"/>
      <c r="B218" s="29"/>
      <c r="C218" s="37"/>
      <c r="D218" s="29"/>
      <c r="E218" s="29"/>
      <c r="F218" s="37"/>
      <c r="G218" s="37"/>
      <c r="H218" s="37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</row>
    <row r="219" ht="11.25" customHeight="1">
      <c r="A219" s="29"/>
      <c r="B219" s="29"/>
      <c r="C219" s="37"/>
      <c r="D219" s="29"/>
      <c r="E219" s="29"/>
      <c r="F219" s="37"/>
      <c r="G219" s="37"/>
      <c r="H219" s="37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</row>
    <row r="220" ht="11.25" customHeight="1">
      <c r="A220" s="29"/>
      <c r="B220" s="29"/>
      <c r="C220" s="37"/>
      <c r="D220" s="29"/>
      <c r="E220" s="29"/>
      <c r="F220" s="37"/>
      <c r="G220" s="37"/>
      <c r="H220" s="37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</row>
    <row r="221" ht="11.25" customHeight="1">
      <c r="A221" s="29"/>
      <c r="B221" s="29"/>
      <c r="C221" s="37"/>
      <c r="D221" s="29"/>
      <c r="E221" s="29"/>
      <c r="F221" s="37"/>
      <c r="G221" s="37"/>
      <c r="H221" s="37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  <c r="AA221" s="29"/>
    </row>
    <row r="222" ht="11.25" customHeight="1">
      <c r="A222" s="29"/>
      <c r="B222" s="29"/>
      <c r="C222" s="37"/>
      <c r="D222" s="29"/>
      <c r="E222" s="29"/>
      <c r="F222" s="37"/>
      <c r="G222" s="37"/>
      <c r="H222" s="37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</row>
    <row r="223" ht="11.25" customHeight="1">
      <c r="A223" s="29"/>
      <c r="B223" s="29"/>
      <c r="C223" s="37"/>
      <c r="D223" s="29"/>
      <c r="E223" s="29"/>
      <c r="F223" s="37"/>
      <c r="G223" s="37"/>
      <c r="H223" s="37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  <c r="AA223" s="29"/>
    </row>
    <row r="224" ht="11.25" customHeight="1">
      <c r="A224" s="29"/>
      <c r="B224" s="29"/>
      <c r="C224" s="37"/>
      <c r="D224" s="29"/>
      <c r="E224" s="29"/>
      <c r="F224" s="37"/>
      <c r="G224" s="37"/>
      <c r="H224" s="37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  <c r="AA224" s="29"/>
    </row>
    <row r="225" ht="11.25" customHeight="1">
      <c r="A225" s="29"/>
      <c r="B225" s="29"/>
      <c r="C225" s="37"/>
      <c r="D225" s="29"/>
      <c r="E225" s="29"/>
      <c r="F225" s="37"/>
      <c r="G225" s="37"/>
      <c r="H225" s="37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</row>
    <row r="226" ht="11.25" customHeight="1">
      <c r="A226" s="29"/>
      <c r="B226" s="29"/>
      <c r="C226" s="37"/>
      <c r="D226" s="29"/>
      <c r="E226" s="29"/>
      <c r="F226" s="37"/>
      <c r="G226" s="37"/>
      <c r="H226" s="37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</row>
    <row r="227" ht="11.25" customHeight="1">
      <c r="A227" s="29"/>
      <c r="B227" s="29"/>
      <c r="C227" s="37"/>
      <c r="D227" s="29"/>
      <c r="E227" s="29"/>
      <c r="F227" s="37"/>
      <c r="G227" s="37"/>
      <c r="H227" s="37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</row>
    <row r="228" ht="11.25" customHeight="1">
      <c r="A228" s="29"/>
      <c r="B228" s="29"/>
      <c r="C228" s="37"/>
      <c r="D228" s="29"/>
      <c r="E228" s="29"/>
      <c r="F228" s="37"/>
      <c r="G228" s="37"/>
      <c r="H228" s="37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</row>
    <row r="229" ht="11.25" customHeight="1">
      <c r="A229" s="29"/>
      <c r="B229" s="29"/>
      <c r="C229" s="37"/>
      <c r="D229" s="29"/>
      <c r="E229" s="29"/>
      <c r="F229" s="37"/>
      <c r="G229" s="37"/>
      <c r="H229" s="37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  <c r="AA229" s="29"/>
    </row>
    <row r="230" ht="11.25" customHeight="1">
      <c r="A230" s="29"/>
      <c r="B230" s="29"/>
      <c r="C230" s="37"/>
      <c r="D230" s="29"/>
      <c r="E230" s="29"/>
      <c r="F230" s="37"/>
      <c r="G230" s="37"/>
      <c r="H230" s="37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</row>
    <row r="231" ht="11.25" customHeight="1">
      <c r="A231" s="29"/>
      <c r="B231" s="29"/>
      <c r="C231" s="37"/>
      <c r="D231" s="29"/>
      <c r="E231" s="29"/>
      <c r="F231" s="37"/>
      <c r="G231" s="37"/>
      <c r="H231" s="37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</row>
    <row r="232" ht="11.25" customHeight="1">
      <c r="A232" s="29"/>
      <c r="B232" s="29"/>
      <c r="C232" s="37"/>
      <c r="D232" s="29"/>
      <c r="E232" s="29"/>
      <c r="F232" s="37"/>
      <c r="G232" s="37"/>
      <c r="H232" s="37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</row>
    <row r="233" ht="11.25" customHeight="1">
      <c r="A233" s="29"/>
      <c r="B233" s="29"/>
      <c r="C233" s="37"/>
      <c r="D233" s="29"/>
      <c r="E233" s="29"/>
      <c r="F233" s="37"/>
      <c r="G233" s="37"/>
      <c r="H233" s="37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  <c r="AA233" s="29"/>
    </row>
    <row r="234" ht="11.25" customHeight="1">
      <c r="A234" s="29"/>
      <c r="B234" s="29"/>
      <c r="C234" s="37"/>
      <c r="D234" s="29"/>
      <c r="E234" s="29"/>
      <c r="F234" s="37"/>
      <c r="G234" s="37"/>
      <c r="H234" s="37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</row>
    <row r="235" ht="11.25" customHeight="1">
      <c r="A235" s="29"/>
      <c r="B235" s="29"/>
      <c r="C235" s="37"/>
      <c r="D235" s="29"/>
      <c r="E235" s="29"/>
      <c r="F235" s="37"/>
      <c r="G235" s="37"/>
      <c r="H235" s="37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  <c r="AA235" s="29"/>
    </row>
    <row r="236" ht="11.25" customHeight="1">
      <c r="A236" s="29"/>
      <c r="B236" s="29"/>
      <c r="C236" s="37"/>
      <c r="D236" s="29"/>
      <c r="E236" s="29"/>
      <c r="F236" s="37"/>
      <c r="G236" s="37"/>
      <c r="H236" s="37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</row>
    <row r="237" ht="11.25" customHeight="1">
      <c r="A237" s="29"/>
      <c r="B237" s="29"/>
      <c r="C237" s="37"/>
      <c r="D237" s="29"/>
      <c r="E237" s="29"/>
      <c r="F237" s="37"/>
      <c r="G237" s="37"/>
      <c r="H237" s="37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</row>
    <row r="238" ht="11.25" customHeight="1">
      <c r="A238" s="29"/>
      <c r="B238" s="29"/>
      <c r="C238" s="37"/>
      <c r="D238" s="29"/>
      <c r="E238" s="29"/>
      <c r="F238" s="37"/>
      <c r="G238" s="37"/>
      <c r="H238" s="37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</row>
    <row r="239" ht="11.25" customHeight="1">
      <c r="A239" s="29"/>
      <c r="B239" s="29"/>
      <c r="C239" s="37"/>
      <c r="D239" s="29"/>
      <c r="E239" s="29"/>
      <c r="F239" s="37"/>
      <c r="G239" s="37"/>
      <c r="H239" s="37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</row>
    <row r="240" ht="11.25" customHeight="1">
      <c r="A240" s="29"/>
      <c r="B240" s="29"/>
      <c r="C240" s="37"/>
      <c r="D240" s="29"/>
      <c r="E240" s="29"/>
      <c r="F240" s="37"/>
      <c r="G240" s="37"/>
      <c r="H240" s="37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</row>
    <row r="241" ht="11.25" customHeight="1">
      <c r="A241" s="29"/>
      <c r="B241" s="29"/>
      <c r="C241" s="37"/>
      <c r="D241" s="29"/>
      <c r="E241" s="29"/>
      <c r="F241" s="37"/>
      <c r="G241" s="37"/>
      <c r="H241" s="37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29"/>
    </row>
    <row r="242" ht="11.25" customHeight="1">
      <c r="A242" s="29"/>
      <c r="B242" s="29"/>
      <c r="C242" s="37"/>
      <c r="D242" s="29"/>
      <c r="E242" s="29"/>
      <c r="F242" s="37"/>
      <c r="G242" s="37"/>
      <c r="H242" s="37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</row>
    <row r="243" ht="11.25" customHeight="1">
      <c r="A243" s="29"/>
      <c r="B243" s="29"/>
      <c r="C243" s="37"/>
      <c r="D243" s="29"/>
      <c r="E243" s="29"/>
      <c r="F243" s="37"/>
      <c r="G243" s="37"/>
      <c r="H243" s="37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</row>
    <row r="244" ht="11.25" customHeight="1">
      <c r="A244" s="29"/>
      <c r="B244" s="29"/>
      <c r="C244" s="37"/>
      <c r="D244" s="29"/>
      <c r="E244" s="29"/>
      <c r="F244" s="37"/>
      <c r="G244" s="37"/>
      <c r="H244" s="37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</row>
    <row r="245" ht="11.25" customHeight="1">
      <c r="A245" s="29"/>
      <c r="B245" s="29"/>
      <c r="C245" s="37"/>
      <c r="D245" s="29"/>
      <c r="E245" s="29"/>
      <c r="F245" s="37"/>
      <c r="G245" s="37"/>
      <c r="H245" s="37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</row>
    <row r="246" ht="11.25" customHeight="1">
      <c r="A246" s="29"/>
      <c r="B246" s="29"/>
      <c r="C246" s="37"/>
      <c r="D246" s="29"/>
      <c r="E246" s="29"/>
      <c r="F246" s="37"/>
      <c r="G246" s="37"/>
      <c r="H246" s="37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</row>
    <row r="247" ht="11.25" customHeight="1">
      <c r="A247" s="29"/>
      <c r="B247" s="29"/>
      <c r="C247" s="37"/>
      <c r="D247" s="29"/>
      <c r="E247" s="29"/>
      <c r="F247" s="37"/>
      <c r="G247" s="37"/>
      <c r="H247" s="37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</row>
    <row r="248" ht="11.25" customHeight="1">
      <c r="A248" s="29"/>
      <c r="B248" s="29"/>
      <c r="C248" s="37"/>
      <c r="D248" s="29"/>
      <c r="E248" s="29"/>
      <c r="F248" s="37"/>
      <c r="G248" s="37"/>
      <c r="H248" s="37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</row>
    <row r="249" ht="11.25" customHeight="1">
      <c r="A249" s="29"/>
      <c r="B249" s="29"/>
      <c r="C249" s="37"/>
      <c r="D249" s="29"/>
      <c r="E249" s="29"/>
      <c r="F249" s="37"/>
      <c r="G249" s="37"/>
      <c r="H249" s="37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29"/>
    </row>
    <row r="250" ht="11.25" customHeight="1">
      <c r="A250" s="29"/>
      <c r="B250" s="29"/>
      <c r="C250" s="37"/>
      <c r="D250" s="29"/>
      <c r="E250" s="29"/>
      <c r="F250" s="37"/>
      <c r="G250" s="37"/>
      <c r="H250" s="37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</row>
    <row r="251" ht="11.25" customHeight="1">
      <c r="A251" s="29"/>
      <c r="B251" s="29"/>
      <c r="C251" s="37"/>
      <c r="D251" s="29"/>
      <c r="E251" s="29"/>
      <c r="F251" s="37"/>
      <c r="G251" s="37"/>
      <c r="H251" s="37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</row>
    <row r="252" ht="11.25" customHeight="1">
      <c r="A252" s="29"/>
      <c r="B252" s="29"/>
      <c r="C252" s="37"/>
      <c r="D252" s="29"/>
      <c r="E252" s="29"/>
      <c r="F252" s="37"/>
      <c r="G252" s="37"/>
      <c r="H252" s="37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</row>
    <row r="253" ht="11.25" customHeight="1">
      <c r="A253" s="29"/>
      <c r="B253" s="29"/>
      <c r="C253" s="37"/>
      <c r="D253" s="29"/>
      <c r="E253" s="29"/>
      <c r="F253" s="37"/>
      <c r="G253" s="37"/>
      <c r="H253" s="37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</row>
    <row r="254" ht="11.25" customHeight="1">
      <c r="A254" s="29"/>
      <c r="B254" s="29"/>
      <c r="C254" s="37"/>
      <c r="D254" s="29"/>
      <c r="E254" s="29"/>
      <c r="F254" s="37"/>
      <c r="G254" s="37"/>
      <c r="H254" s="37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</row>
    <row r="255" ht="11.25" customHeight="1">
      <c r="A255" s="29"/>
      <c r="B255" s="29"/>
      <c r="C255" s="37"/>
      <c r="D255" s="29"/>
      <c r="E255" s="29"/>
      <c r="F255" s="37"/>
      <c r="G255" s="37"/>
      <c r="H255" s="37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</row>
    <row r="256" ht="11.25" customHeight="1">
      <c r="A256" s="29"/>
      <c r="B256" s="29"/>
      <c r="C256" s="37"/>
      <c r="D256" s="29"/>
      <c r="E256" s="29"/>
      <c r="F256" s="37"/>
      <c r="G256" s="37"/>
      <c r="H256" s="37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</row>
    <row r="257" ht="11.25" customHeight="1">
      <c r="A257" s="29"/>
      <c r="B257" s="29"/>
      <c r="C257" s="37"/>
      <c r="D257" s="29"/>
      <c r="E257" s="29"/>
      <c r="F257" s="37"/>
      <c r="G257" s="37"/>
      <c r="H257" s="37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</row>
    <row r="258" ht="11.25" customHeight="1">
      <c r="A258" s="29"/>
      <c r="B258" s="29"/>
      <c r="C258" s="37"/>
      <c r="D258" s="29"/>
      <c r="E258" s="29"/>
      <c r="F258" s="37"/>
      <c r="G258" s="37"/>
      <c r="H258" s="37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</row>
    <row r="259" ht="11.25" customHeight="1">
      <c r="A259" s="29"/>
      <c r="B259" s="29"/>
      <c r="C259" s="37"/>
      <c r="D259" s="29"/>
      <c r="E259" s="29"/>
      <c r="F259" s="37"/>
      <c r="G259" s="37"/>
      <c r="H259" s="37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  <c r="AA259" s="29"/>
    </row>
    <row r="260" ht="11.25" customHeight="1">
      <c r="A260" s="29"/>
      <c r="B260" s="29"/>
      <c r="C260" s="37"/>
      <c r="D260" s="29"/>
      <c r="E260" s="29"/>
      <c r="F260" s="37"/>
      <c r="G260" s="37"/>
      <c r="H260" s="37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</row>
    <row r="261" ht="11.25" customHeight="1">
      <c r="A261" s="29"/>
      <c r="B261" s="29"/>
      <c r="C261" s="37"/>
      <c r="D261" s="29"/>
      <c r="E261" s="29"/>
      <c r="F261" s="37"/>
      <c r="G261" s="37"/>
      <c r="H261" s="37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  <c r="AA261" s="29"/>
    </row>
    <row r="262" ht="11.25" customHeight="1">
      <c r="A262" s="29"/>
      <c r="B262" s="29"/>
      <c r="C262" s="37"/>
      <c r="D262" s="29"/>
      <c r="E262" s="29"/>
      <c r="F262" s="37"/>
      <c r="G262" s="37"/>
      <c r="H262" s="37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  <c r="AA262" s="29"/>
    </row>
    <row r="263" ht="11.25" customHeight="1">
      <c r="A263" s="29"/>
      <c r="B263" s="29"/>
      <c r="C263" s="37"/>
      <c r="D263" s="29"/>
      <c r="E263" s="29"/>
      <c r="F263" s="37"/>
      <c r="G263" s="37"/>
      <c r="H263" s="37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  <c r="AA263" s="29"/>
    </row>
    <row r="264" ht="11.25" customHeight="1">
      <c r="A264" s="29"/>
      <c r="B264" s="29"/>
      <c r="C264" s="37"/>
      <c r="D264" s="29"/>
      <c r="E264" s="29"/>
      <c r="F264" s="37"/>
      <c r="G264" s="37"/>
      <c r="H264" s="37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</row>
    <row r="265" ht="11.25" customHeight="1">
      <c r="A265" s="29"/>
      <c r="B265" s="29"/>
      <c r="C265" s="37"/>
      <c r="D265" s="29"/>
      <c r="E265" s="29"/>
      <c r="F265" s="37"/>
      <c r="G265" s="37"/>
      <c r="H265" s="37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  <c r="AA265" s="29"/>
    </row>
    <row r="266" ht="11.25" customHeight="1">
      <c r="A266" s="29"/>
      <c r="B266" s="29"/>
      <c r="C266" s="37"/>
      <c r="D266" s="29"/>
      <c r="E266" s="29"/>
      <c r="F266" s="37"/>
      <c r="G266" s="37"/>
      <c r="H266" s="37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  <c r="AA266" s="29"/>
    </row>
    <row r="267" ht="11.25" customHeight="1">
      <c r="A267" s="29"/>
      <c r="B267" s="29"/>
      <c r="C267" s="37"/>
      <c r="D267" s="29"/>
      <c r="E267" s="29"/>
      <c r="F267" s="37"/>
      <c r="G267" s="37"/>
      <c r="H267" s="37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  <c r="AA267" s="29"/>
    </row>
    <row r="268" ht="11.25" customHeight="1">
      <c r="A268" s="29"/>
      <c r="B268" s="29"/>
      <c r="C268" s="37"/>
      <c r="D268" s="29"/>
      <c r="E268" s="29"/>
      <c r="F268" s="37"/>
      <c r="G268" s="37"/>
      <c r="H268" s="37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</row>
    <row r="269" ht="11.25" customHeight="1">
      <c r="A269" s="29"/>
      <c r="B269" s="29"/>
      <c r="C269" s="37"/>
      <c r="D269" s="29"/>
      <c r="E269" s="29"/>
      <c r="F269" s="37"/>
      <c r="G269" s="37"/>
      <c r="H269" s="37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  <c r="AA269" s="29"/>
    </row>
    <row r="270" ht="11.25" customHeight="1">
      <c r="A270" s="29"/>
      <c r="B270" s="29"/>
      <c r="C270" s="37"/>
      <c r="D270" s="29"/>
      <c r="E270" s="29"/>
      <c r="F270" s="37"/>
      <c r="G270" s="37"/>
      <c r="H270" s="37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</row>
    <row r="271" ht="11.25" customHeight="1">
      <c r="A271" s="29"/>
      <c r="B271" s="29"/>
      <c r="C271" s="37"/>
      <c r="D271" s="29"/>
      <c r="E271" s="29"/>
      <c r="F271" s="37"/>
      <c r="G271" s="37"/>
      <c r="H271" s="37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</row>
    <row r="272" ht="11.25" customHeight="1">
      <c r="A272" s="29"/>
      <c r="B272" s="29"/>
      <c r="C272" s="37"/>
      <c r="D272" s="29"/>
      <c r="E272" s="29"/>
      <c r="F272" s="37"/>
      <c r="G272" s="37"/>
      <c r="H272" s="37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/>
    </row>
    <row r="273" ht="11.25" customHeight="1">
      <c r="A273" s="29"/>
      <c r="B273" s="29"/>
      <c r="C273" s="37"/>
      <c r="D273" s="29"/>
      <c r="E273" s="29"/>
      <c r="F273" s="37"/>
      <c r="G273" s="37"/>
      <c r="H273" s="37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  <c r="AA273" s="29"/>
    </row>
    <row r="274" ht="11.25" customHeight="1">
      <c r="A274" s="29"/>
      <c r="B274" s="29"/>
      <c r="C274" s="37"/>
      <c r="D274" s="29"/>
      <c r="E274" s="29"/>
      <c r="F274" s="37"/>
      <c r="G274" s="37"/>
      <c r="H274" s="37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</row>
    <row r="275" ht="11.25" customHeight="1">
      <c r="A275" s="29"/>
      <c r="B275" s="29"/>
      <c r="C275" s="37"/>
      <c r="D275" s="29"/>
      <c r="E275" s="29"/>
      <c r="F275" s="37"/>
      <c r="G275" s="37"/>
      <c r="H275" s="37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  <c r="AA275" s="29"/>
    </row>
    <row r="276" ht="11.25" customHeight="1">
      <c r="A276" s="29"/>
      <c r="B276" s="29"/>
      <c r="C276" s="37"/>
      <c r="D276" s="29"/>
      <c r="E276" s="29"/>
      <c r="F276" s="37"/>
      <c r="G276" s="37"/>
      <c r="H276" s="37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</row>
    <row r="277" ht="11.25" customHeight="1">
      <c r="A277" s="29"/>
      <c r="B277" s="29"/>
      <c r="C277" s="37"/>
      <c r="D277" s="29"/>
      <c r="E277" s="29"/>
      <c r="F277" s="37"/>
      <c r="G277" s="37"/>
      <c r="H277" s="37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</row>
    <row r="278" ht="11.25" customHeight="1">
      <c r="A278" s="29"/>
      <c r="B278" s="29"/>
      <c r="C278" s="37"/>
      <c r="D278" s="29"/>
      <c r="E278" s="29"/>
      <c r="F278" s="37"/>
      <c r="G278" s="37"/>
      <c r="H278" s="37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</row>
    <row r="279" ht="11.25" customHeight="1">
      <c r="A279" s="29"/>
      <c r="B279" s="29"/>
      <c r="C279" s="37"/>
      <c r="D279" s="29"/>
      <c r="E279" s="29"/>
      <c r="F279" s="37"/>
      <c r="G279" s="37"/>
      <c r="H279" s="37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</row>
    <row r="280" ht="11.25" customHeight="1">
      <c r="A280" s="29"/>
      <c r="B280" s="29"/>
      <c r="C280" s="37"/>
      <c r="D280" s="29"/>
      <c r="E280" s="29"/>
      <c r="F280" s="37"/>
      <c r="G280" s="37"/>
      <c r="H280" s="37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</row>
    <row r="281" ht="11.25" customHeight="1">
      <c r="A281" s="29"/>
      <c r="B281" s="29"/>
      <c r="C281" s="37"/>
      <c r="D281" s="29"/>
      <c r="E281" s="29"/>
      <c r="F281" s="37"/>
      <c r="G281" s="37"/>
      <c r="H281" s="37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</row>
    <row r="282" ht="11.25" customHeight="1">
      <c r="A282" s="29"/>
      <c r="B282" s="29"/>
      <c r="C282" s="37"/>
      <c r="D282" s="29"/>
      <c r="E282" s="29"/>
      <c r="F282" s="37"/>
      <c r="G282" s="37"/>
      <c r="H282" s="37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</row>
    <row r="283" ht="11.25" customHeight="1">
      <c r="A283" s="29"/>
      <c r="B283" s="29"/>
      <c r="C283" s="37"/>
      <c r="D283" s="29"/>
      <c r="E283" s="29"/>
      <c r="F283" s="37"/>
      <c r="G283" s="37"/>
      <c r="H283" s="37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  <c r="AA283" s="29"/>
    </row>
    <row r="284" ht="11.25" customHeight="1">
      <c r="A284" s="29"/>
      <c r="B284" s="29"/>
      <c r="C284" s="37"/>
      <c r="D284" s="29"/>
      <c r="E284" s="29"/>
      <c r="F284" s="37"/>
      <c r="G284" s="37"/>
      <c r="H284" s="37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</row>
    <row r="285" ht="11.25" customHeight="1">
      <c r="A285" s="29"/>
      <c r="B285" s="29"/>
      <c r="C285" s="37"/>
      <c r="D285" s="29"/>
      <c r="E285" s="29"/>
      <c r="F285" s="37"/>
      <c r="G285" s="37"/>
      <c r="H285" s="37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  <c r="AA285" s="29"/>
    </row>
    <row r="286" ht="11.25" customHeight="1">
      <c r="A286" s="29"/>
      <c r="B286" s="29"/>
      <c r="C286" s="37"/>
      <c r="D286" s="29"/>
      <c r="E286" s="29"/>
      <c r="F286" s="37"/>
      <c r="G286" s="37"/>
      <c r="H286" s="37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</row>
    <row r="287" ht="11.25" customHeight="1">
      <c r="A287" s="29"/>
      <c r="B287" s="29"/>
      <c r="C287" s="37"/>
      <c r="D287" s="29"/>
      <c r="E287" s="29"/>
      <c r="F287" s="37"/>
      <c r="G287" s="37"/>
      <c r="H287" s="37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  <c r="AA287" s="29"/>
    </row>
    <row r="288" ht="11.25" customHeight="1">
      <c r="A288" s="29"/>
      <c r="B288" s="29"/>
      <c r="C288" s="37"/>
      <c r="D288" s="29"/>
      <c r="E288" s="29"/>
      <c r="F288" s="37"/>
      <c r="G288" s="37"/>
      <c r="H288" s="37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</row>
    <row r="289" ht="11.25" customHeight="1">
      <c r="A289" s="29"/>
      <c r="B289" s="29"/>
      <c r="C289" s="37"/>
      <c r="D289" s="29"/>
      <c r="E289" s="29"/>
      <c r="F289" s="37"/>
      <c r="G289" s="37"/>
      <c r="H289" s="37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  <c r="AA289" s="29"/>
    </row>
    <row r="290" ht="11.25" customHeight="1">
      <c r="A290" s="29"/>
      <c r="B290" s="29"/>
      <c r="C290" s="37"/>
      <c r="D290" s="29"/>
      <c r="E290" s="29"/>
      <c r="F290" s="37"/>
      <c r="G290" s="37"/>
      <c r="H290" s="37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/>
    </row>
    <row r="291" ht="11.25" customHeight="1">
      <c r="A291" s="29"/>
      <c r="B291" s="29"/>
      <c r="C291" s="37"/>
      <c r="D291" s="29"/>
      <c r="E291" s="29"/>
      <c r="F291" s="37"/>
      <c r="G291" s="37"/>
      <c r="H291" s="37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  <c r="AA291" s="29"/>
    </row>
    <row r="292" ht="11.25" customHeight="1">
      <c r="A292" s="29"/>
      <c r="B292" s="29"/>
      <c r="C292" s="37"/>
      <c r="D292" s="29"/>
      <c r="E292" s="29"/>
      <c r="F292" s="37"/>
      <c r="G292" s="37"/>
      <c r="H292" s="37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  <c r="AA292" s="29"/>
    </row>
    <row r="293" ht="11.25" customHeight="1">
      <c r="A293" s="29"/>
      <c r="B293" s="29"/>
      <c r="C293" s="37"/>
      <c r="D293" s="29"/>
      <c r="E293" s="29"/>
      <c r="F293" s="37"/>
      <c r="G293" s="37"/>
      <c r="H293" s="37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  <c r="AA293" s="29"/>
    </row>
    <row r="294" ht="11.25" customHeight="1">
      <c r="A294" s="29"/>
      <c r="B294" s="29"/>
      <c r="C294" s="37"/>
      <c r="D294" s="29"/>
      <c r="E294" s="29"/>
      <c r="F294" s="37"/>
      <c r="G294" s="37"/>
      <c r="H294" s="37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  <c r="AA294" s="29"/>
    </row>
    <row r="295" ht="11.25" customHeight="1">
      <c r="A295" s="29"/>
      <c r="B295" s="29"/>
      <c r="C295" s="37"/>
      <c r="D295" s="29"/>
      <c r="E295" s="29"/>
      <c r="F295" s="37"/>
      <c r="G295" s="37"/>
      <c r="H295" s="37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  <c r="AA295" s="29"/>
    </row>
    <row r="296" ht="11.25" customHeight="1">
      <c r="A296" s="29"/>
      <c r="B296" s="29"/>
      <c r="C296" s="37"/>
      <c r="D296" s="29"/>
      <c r="E296" s="29"/>
      <c r="F296" s="37"/>
      <c r="G296" s="37"/>
      <c r="H296" s="37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  <c r="AA296" s="29"/>
    </row>
    <row r="297" ht="11.25" customHeight="1">
      <c r="A297" s="29"/>
      <c r="B297" s="29"/>
      <c r="C297" s="37"/>
      <c r="D297" s="29"/>
      <c r="E297" s="29"/>
      <c r="F297" s="37"/>
      <c r="G297" s="37"/>
      <c r="H297" s="37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  <c r="AA297" s="29"/>
    </row>
    <row r="298" ht="11.25" customHeight="1">
      <c r="A298" s="29"/>
      <c r="B298" s="29"/>
      <c r="C298" s="37"/>
      <c r="D298" s="29"/>
      <c r="E298" s="29"/>
      <c r="F298" s="37"/>
      <c r="G298" s="37"/>
      <c r="H298" s="37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</row>
    <row r="299" ht="11.25" customHeight="1">
      <c r="A299" s="29"/>
      <c r="B299" s="29"/>
      <c r="C299" s="37"/>
      <c r="D299" s="29"/>
      <c r="E299" s="29"/>
      <c r="F299" s="37"/>
      <c r="G299" s="37"/>
      <c r="H299" s="37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  <c r="AA299" s="29"/>
    </row>
    <row r="300" ht="11.25" customHeight="1">
      <c r="A300" s="29"/>
      <c r="B300" s="29"/>
      <c r="C300" s="37"/>
      <c r="D300" s="29"/>
      <c r="E300" s="29"/>
      <c r="F300" s="37"/>
      <c r="G300" s="37"/>
      <c r="H300" s="37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</row>
    <row r="301" ht="11.25" customHeight="1">
      <c r="A301" s="29"/>
      <c r="B301" s="29"/>
      <c r="C301" s="37"/>
      <c r="D301" s="29"/>
      <c r="E301" s="29"/>
      <c r="F301" s="37"/>
      <c r="G301" s="37"/>
      <c r="H301" s="37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  <c r="AA301" s="29"/>
    </row>
    <row r="302" ht="11.25" customHeight="1">
      <c r="A302" s="29"/>
      <c r="B302" s="29"/>
      <c r="C302" s="37"/>
      <c r="D302" s="29"/>
      <c r="E302" s="29"/>
      <c r="F302" s="37"/>
      <c r="G302" s="37"/>
      <c r="H302" s="37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</row>
    <row r="303" ht="11.25" customHeight="1">
      <c r="A303" s="29"/>
      <c r="B303" s="29"/>
      <c r="C303" s="37"/>
      <c r="D303" s="29"/>
      <c r="E303" s="29"/>
      <c r="F303" s="37"/>
      <c r="G303" s="37"/>
      <c r="H303" s="37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  <c r="AA303" s="29"/>
    </row>
    <row r="304" ht="11.25" customHeight="1">
      <c r="A304" s="29"/>
      <c r="B304" s="29"/>
      <c r="C304" s="37"/>
      <c r="D304" s="29"/>
      <c r="E304" s="29"/>
      <c r="F304" s="37"/>
      <c r="G304" s="37"/>
      <c r="H304" s="37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</row>
    <row r="305" ht="11.25" customHeight="1">
      <c r="A305" s="29"/>
      <c r="B305" s="29"/>
      <c r="C305" s="37"/>
      <c r="D305" s="29"/>
      <c r="E305" s="29"/>
      <c r="F305" s="37"/>
      <c r="G305" s="37"/>
      <c r="H305" s="37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  <c r="AA305" s="29"/>
    </row>
    <row r="306" ht="11.25" customHeight="1">
      <c r="A306" s="29"/>
      <c r="B306" s="29"/>
      <c r="C306" s="37"/>
      <c r="D306" s="29"/>
      <c r="E306" s="29"/>
      <c r="F306" s="37"/>
      <c r="G306" s="37"/>
      <c r="H306" s="37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</row>
    <row r="307" ht="11.25" customHeight="1">
      <c r="A307" s="29"/>
      <c r="B307" s="29"/>
      <c r="C307" s="37"/>
      <c r="D307" s="29"/>
      <c r="E307" s="29"/>
      <c r="F307" s="37"/>
      <c r="G307" s="37"/>
      <c r="H307" s="37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  <c r="AA307" s="29"/>
    </row>
    <row r="308" ht="11.25" customHeight="1">
      <c r="A308" s="29"/>
      <c r="B308" s="29"/>
      <c r="C308" s="37"/>
      <c r="D308" s="29"/>
      <c r="E308" s="29"/>
      <c r="F308" s="37"/>
      <c r="G308" s="37"/>
      <c r="H308" s="37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</row>
    <row r="309" ht="11.25" customHeight="1">
      <c r="A309" s="29"/>
      <c r="B309" s="29"/>
      <c r="C309" s="37"/>
      <c r="D309" s="29"/>
      <c r="E309" s="29"/>
      <c r="F309" s="37"/>
      <c r="G309" s="37"/>
      <c r="H309" s="37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</row>
    <row r="310" ht="11.25" customHeight="1">
      <c r="A310" s="29"/>
      <c r="B310" s="29"/>
      <c r="C310" s="37"/>
      <c r="D310" s="29"/>
      <c r="E310" s="29"/>
      <c r="F310" s="37"/>
      <c r="G310" s="37"/>
      <c r="H310" s="37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</row>
    <row r="311" ht="11.25" customHeight="1">
      <c r="A311" s="29"/>
      <c r="B311" s="29"/>
      <c r="C311" s="37"/>
      <c r="D311" s="29"/>
      <c r="E311" s="29"/>
      <c r="F311" s="37"/>
      <c r="G311" s="37"/>
      <c r="H311" s="37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  <c r="AA311" s="29"/>
    </row>
    <row r="312" ht="11.25" customHeight="1">
      <c r="A312" s="29"/>
      <c r="B312" s="29"/>
      <c r="C312" s="37"/>
      <c r="D312" s="29"/>
      <c r="E312" s="29"/>
      <c r="F312" s="37"/>
      <c r="G312" s="37"/>
      <c r="H312" s="37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</row>
    <row r="313" ht="11.25" customHeight="1">
      <c r="A313" s="29"/>
      <c r="B313" s="29"/>
      <c r="C313" s="37"/>
      <c r="D313" s="29"/>
      <c r="E313" s="29"/>
      <c r="F313" s="37"/>
      <c r="G313" s="37"/>
      <c r="H313" s="37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  <c r="AA313" s="29"/>
    </row>
    <row r="314" ht="11.25" customHeight="1">
      <c r="A314" s="29"/>
      <c r="B314" s="29"/>
      <c r="C314" s="37"/>
      <c r="D314" s="29"/>
      <c r="E314" s="29"/>
      <c r="F314" s="37"/>
      <c r="G314" s="37"/>
      <c r="H314" s="37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</row>
    <row r="315" ht="11.25" customHeight="1">
      <c r="A315" s="29"/>
      <c r="B315" s="29"/>
      <c r="C315" s="37"/>
      <c r="D315" s="29"/>
      <c r="E315" s="29"/>
      <c r="F315" s="37"/>
      <c r="G315" s="37"/>
      <c r="H315" s="37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  <c r="AA315" s="29"/>
    </row>
    <row r="316" ht="11.25" customHeight="1">
      <c r="A316" s="29"/>
      <c r="B316" s="29"/>
      <c r="C316" s="37"/>
      <c r="D316" s="29"/>
      <c r="E316" s="29"/>
      <c r="F316" s="37"/>
      <c r="G316" s="37"/>
      <c r="H316" s="37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  <c r="AA316" s="29"/>
    </row>
    <row r="317" ht="11.25" customHeight="1">
      <c r="A317" s="29"/>
      <c r="B317" s="29"/>
      <c r="C317" s="37"/>
      <c r="D317" s="29"/>
      <c r="E317" s="29"/>
      <c r="F317" s="37"/>
      <c r="G317" s="37"/>
      <c r="H317" s="37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  <c r="AA317" s="29"/>
    </row>
    <row r="318" ht="11.25" customHeight="1">
      <c r="A318" s="29"/>
      <c r="B318" s="29"/>
      <c r="C318" s="37"/>
      <c r="D318" s="29"/>
      <c r="E318" s="29"/>
      <c r="F318" s="37"/>
      <c r="G318" s="37"/>
      <c r="H318" s="37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  <c r="AA318" s="29"/>
    </row>
    <row r="319" ht="11.25" customHeight="1">
      <c r="A319" s="29"/>
      <c r="B319" s="29"/>
      <c r="C319" s="37"/>
      <c r="D319" s="29"/>
      <c r="E319" s="29"/>
      <c r="F319" s="37"/>
      <c r="G319" s="37"/>
      <c r="H319" s="37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  <c r="AA319" s="29"/>
    </row>
    <row r="320" ht="11.25" customHeight="1">
      <c r="A320" s="29"/>
      <c r="B320" s="29"/>
      <c r="C320" s="37"/>
      <c r="D320" s="29"/>
      <c r="E320" s="29"/>
      <c r="F320" s="37"/>
      <c r="G320" s="37"/>
      <c r="H320" s="37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  <c r="AA320" s="29"/>
    </row>
    <row r="321" ht="11.25" customHeight="1">
      <c r="A321" s="29"/>
      <c r="B321" s="29"/>
      <c r="C321" s="37"/>
      <c r="D321" s="29"/>
      <c r="E321" s="29"/>
      <c r="F321" s="37"/>
      <c r="G321" s="37"/>
      <c r="H321" s="37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  <c r="AA321" s="29"/>
    </row>
    <row r="322" ht="11.25" customHeight="1">
      <c r="A322" s="29"/>
      <c r="B322" s="29"/>
      <c r="C322" s="37"/>
      <c r="D322" s="29"/>
      <c r="E322" s="29"/>
      <c r="F322" s="37"/>
      <c r="G322" s="37"/>
      <c r="H322" s="37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  <c r="AA322" s="29"/>
    </row>
    <row r="323" ht="11.25" customHeight="1">
      <c r="A323" s="29"/>
      <c r="B323" s="29"/>
      <c r="C323" s="37"/>
      <c r="D323" s="29"/>
      <c r="E323" s="29"/>
      <c r="F323" s="37"/>
      <c r="G323" s="37"/>
      <c r="H323" s="37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  <c r="AA323" s="29"/>
    </row>
    <row r="324" ht="11.25" customHeight="1">
      <c r="A324" s="29"/>
      <c r="B324" s="29"/>
      <c r="C324" s="37"/>
      <c r="D324" s="29"/>
      <c r="E324" s="29"/>
      <c r="F324" s="37"/>
      <c r="G324" s="37"/>
      <c r="H324" s="37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</row>
    <row r="325" ht="11.25" customHeight="1">
      <c r="A325" s="29"/>
      <c r="B325" s="29"/>
      <c r="C325" s="37"/>
      <c r="D325" s="29"/>
      <c r="E325" s="29"/>
      <c r="F325" s="37"/>
      <c r="G325" s="37"/>
      <c r="H325" s="37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  <c r="AA325" s="29"/>
    </row>
    <row r="326" ht="11.25" customHeight="1">
      <c r="A326" s="29"/>
      <c r="B326" s="29"/>
      <c r="C326" s="37"/>
      <c r="D326" s="29"/>
      <c r="E326" s="29"/>
      <c r="F326" s="37"/>
      <c r="G326" s="37"/>
      <c r="H326" s="37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  <c r="AA326" s="29"/>
    </row>
    <row r="327" ht="11.25" customHeight="1">
      <c r="A327" s="29"/>
      <c r="B327" s="29"/>
      <c r="C327" s="37"/>
      <c r="D327" s="29"/>
      <c r="E327" s="29"/>
      <c r="F327" s="37"/>
      <c r="G327" s="37"/>
      <c r="H327" s="37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  <c r="AA327" s="29"/>
    </row>
    <row r="328" ht="11.25" customHeight="1">
      <c r="A328" s="29"/>
      <c r="B328" s="29"/>
      <c r="C328" s="37"/>
      <c r="D328" s="29"/>
      <c r="E328" s="29"/>
      <c r="F328" s="37"/>
      <c r="G328" s="37"/>
      <c r="H328" s="37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</row>
    <row r="329" ht="11.25" customHeight="1">
      <c r="A329" s="29"/>
      <c r="B329" s="29"/>
      <c r="C329" s="37"/>
      <c r="D329" s="29"/>
      <c r="E329" s="29"/>
      <c r="F329" s="37"/>
      <c r="G329" s="37"/>
      <c r="H329" s="37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  <c r="AA329" s="29"/>
    </row>
    <row r="330" ht="11.25" customHeight="1">
      <c r="A330" s="29"/>
      <c r="B330" s="29"/>
      <c r="C330" s="37"/>
      <c r="D330" s="29"/>
      <c r="E330" s="29"/>
      <c r="F330" s="37"/>
      <c r="G330" s="37"/>
      <c r="H330" s="37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  <c r="AA330" s="29"/>
    </row>
    <row r="331" ht="11.25" customHeight="1">
      <c r="A331" s="29"/>
      <c r="B331" s="29"/>
      <c r="C331" s="37"/>
      <c r="D331" s="29"/>
      <c r="E331" s="29"/>
      <c r="F331" s="37"/>
      <c r="G331" s="37"/>
      <c r="H331" s="37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  <c r="AA331" s="29"/>
    </row>
    <row r="332" ht="11.25" customHeight="1">
      <c r="A332" s="29"/>
      <c r="B332" s="29"/>
      <c r="C332" s="37"/>
      <c r="D332" s="29"/>
      <c r="E332" s="29"/>
      <c r="F332" s="37"/>
      <c r="G332" s="37"/>
      <c r="H332" s="37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</row>
    <row r="333" ht="11.25" customHeight="1">
      <c r="A333" s="29"/>
      <c r="B333" s="29"/>
      <c r="C333" s="37"/>
      <c r="D333" s="29"/>
      <c r="E333" s="29"/>
      <c r="F333" s="37"/>
      <c r="G333" s="37"/>
      <c r="H333" s="37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  <c r="AA333" s="29"/>
    </row>
    <row r="334" ht="11.25" customHeight="1">
      <c r="A334" s="29"/>
      <c r="B334" s="29"/>
      <c r="C334" s="37"/>
      <c r="D334" s="29"/>
      <c r="E334" s="29"/>
      <c r="F334" s="37"/>
      <c r="G334" s="37"/>
      <c r="H334" s="37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</row>
    <row r="335" ht="11.25" customHeight="1">
      <c r="A335" s="29"/>
      <c r="B335" s="29"/>
      <c r="C335" s="37"/>
      <c r="D335" s="29"/>
      <c r="E335" s="29"/>
      <c r="F335" s="37"/>
      <c r="G335" s="37"/>
      <c r="H335" s="37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  <c r="AA335" s="29"/>
    </row>
    <row r="336" ht="11.25" customHeight="1">
      <c r="A336" s="29"/>
      <c r="B336" s="29"/>
      <c r="C336" s="37"/>
      <c r="D336" s="29"/>
      <c r="E336" s="29"/>
      <c r="F336" s="37"/>
      <c r="G336" s="37"/>
      <c r="H336" s="37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</row>
    <row r="337" ht="11.25" customHeight="1">
      <c r="A337" s="29"/>
      <c r="B337" s="29"/>
      <c r="C337" s="37"/>
      <c r="D337" s="29"/>
      <c r="E337" s="29"/>
      <c r="F337" s="37"/>
      <c r="G337" s="37"/>
      <c r="H337" s="37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  <c r="AA337" s="29"/>
    </row>
    <row r="338" ht="11.25" customHeight="1">
      <c r="A338" s="29"/>
      <c r="B338" s="29"/>
      <c r="C338" s="37"/>
      <c r="D338" s="29"/>
      <c r="E338" s="29"/>
      <c r="F338" s="37"/>
      <c r="G338" s="37"/>
      <c r="H338" s="37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AA338" s="29"/>
    </row>
    <row r="339" ht="11.25" customHeight="1">
      <c r="A339" s="29"/>
      <c r="B339" s="29"/>
      <c r="C339" s="37"/>
      <c r="D339" s="29"/>
      <c r="E339" s="29"/>
      <c r="F339" s="37"/>
      <c r="G339" s="37"/>
      <c r="H339" s="37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  <c r="AA339" s="29"/>
    </row>
    <row r="340" ht="11.25" customHeight="1">
      <c r="A340" s="29"/>
      <c r="B340" s="29"/>
      <c r="C340" s="37"/>
      <c r="D340" s="29"/>
      <c r="E340" s="29"/>
      <c r="F340" s="37"/>
      <c r="G340" s="37"/>
      <c r="H340" s="37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/>
    </row>
    <row r="341" ht="11.25" customHeight="1">
      <c r="A341" s="29"/>
      <c r="B341" s="29"/>
      <c r="C341" s="37"/>
      <c r="D341" s="29"/>
      <c r="E341" s="29"/>
      <c r="F341" s="37"/>
      <c r="G341" s="37"/>
      <c r="H341" s="37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  <c r="AA341" s="29"/>
    </row>
    <row r="342" ht="11.25" customHeight="1">
      <c r="A342" s="29"/>
      <c r="B342" s="29"/>
      <c r="C342" s="37"/>
      <c r="D342" s="29"/>
      <c r="E342" s="29"/>
      <c r="F342" s="37"/>
      <c r="G342" s="37"/>
      <c r="H342" s="37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</row>
    <row r="343" ht="11.25" customHeight="1">
      <c r="A343" s="29"/>
      <c r="B343" s="29"/>
      <c r="C343" s="37"/>
      <c r="D343" s="29"/>
      <c r="E343" s="29"/>
      <c r="F343" s="37"/>
      <c r="G343" s="37"/>
      <c r="H343" s="37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  <c r="AA343" s="29"/>
    </row>
    <row r="344" ht="11.25" customHeight="1">
      <c r="A344" s="29"/>
      <c r="B344" s="29"/>
      <c r="C344" s="37"/>
      <c r="D344" s="29"/>
      <c r="E344" s="29"/>
      <c r="F344" s="37"/>
      <c r="G344" s="37"/>
      <c r="H344" s="37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  <c r="AA344" s="29"/>
    </row>
    <row r="345" ht="11.25" customHeight="1">
      <c r="A345" s="29"/>
      <c r="B345" s="29"/>
      <c r="C345" s="37"/>
      <c r="D345" s="29"/>
      <c r="E345" s="29"/>
      <c r="F345" s="37"/>
      <c r="G345" s="37"/>
      <c r="H345" s="37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  <c r="AA345" s="29"/>
    </row>
    <row r="346" ht="11.25" customHeight="1">
      <c r="A346" s="29"/>
      <c r="B346" s="29"/>
      <c r="C346" s="37"/>
      <c r="D346" s="29"/>
      <c r="E346" s="29"/>
      <c r="F346" s="37"/>
      <c r="G346" s="37"/>
      <c r="H346" s="37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  <c r="AA346" s="29"/>
    </row>
    <row r="347" ht="11.25" customHeight="1">
      <c r="A347" s="29"/>
      <c r="B347" s="29"/>
      <c r="C347" s="37"/>
      <c r="D347" s="29"/>
      <c r="E347" s="29"/>
      <c r="F347" s="37"/>
      <c r="G347" s="37"/>
      <c r="H347" s="37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  <c r="AA347" s="29"/>
    </row>
    <row r="348" ht="11.25" customHeight="1">
      <c r="A348" s="29"/>
      <c r="B348" s="29"/>
      <c r="C348" s="37"/>
      <c r="D348" s="29"/>
      <c r="E348" s="29"/>
      <c r="F348" s="37"/>
      <c r="G348" s="37"/>
      <c r="H348" s="37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</row>
    <row r="349" ht="11.25" customHeight="1">
      <c r="A349" s="29"/>
      <c r="B349" s="29"/>
      <c r="C349" s="37"/>
      <c r="D349" s="29"/>
      <c r="E349" s="29"/>
      <c r="F349" s="37"/>
      <c r="G349" s="37"/>
      <c r="H349" s="37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  <c r="AA349" s="29"/>
    </row>
    <row r="350" ht="11.25" customHeight="1">
      <c r="A350" s="29"/>
      <c r="B350" s="29"/>
      <c r="C350" s="37"/>
      <c r="D350" s="29"/>
      <c r="E350" s="29"/>
      <c r="F350" s="37"/>
      <c r="G350" s="37"/>
      <c r="H350" s="37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  <c r="AA350" s="29"/>
    </row>
    <row r="351" ht="11.25" customHeight="1">
      <c r="A351" s="29"/>
      <c r="B351" s="29"/>
      <c r="C351" s="37"/>
      <c r="D351" s="29"/>
      <c r="E351" s="29"/>
      <c r="F351" s="37"/>
      <c r="G351" s="37"/>
      <c r="H351" s="37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  <c r="AA351" s="29"/>
    </row>
    <row r="352" ht="11.25" customHeight="1">
      <c r="A352" s="29"/>
      <c r="B352" s="29"/>
      <c r="C352" s="37"/>
      <c r="D352" s="29"/>
      <c r="E352" s="29"/>
      <c r="F352" s="37"/>
      <c r="G352" s="37"/>
      <c r="H352" s="37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</row>
    <row r="353" ht="11.25" customHeight="1">
      <c r="A353" s="29"/>
      <c r="B353" s="29"/>
      <c r="C353" s="37"/>
      <c r="D353" s="29"/>
      <c r="E353" s="29"/>
      <c r="F353" s="37"/>
      <c r="G353" s="37"/>
      <c r="H353" s="37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  <c r="AA353" s="29"/>
    </row>
    <row r="354" ht="11.25" customHeight="1">
      <c r="A354" s="29"/>
      <c r="B354" s="29"/>
      <c r="C354" s="37"/>
      <c r="D354" s="29"/>
      <c r="E354" s="29"/>
      <c r="F354" s="37"/>
      <c r="G354" s="37"/>
      <c r="H354" s="37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</row>
    <row r="355" ht="11.25" customHeight="1">
      <c r="A355" s="29"/>
      <c r="B355" s="29"/>
      <c r="C355" s="37"/>
      <c r="D355" s="29"/>
      <c r="E355" s="29"/>
      <c r="F355" s="37"/>
      <c r="G355" s="37"/>
      <c r="H355" s="37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  <c r="AA355" s="29"/>
    </row>
    <row r="356" ht="11.25" customHeight="1">
      <c r="A356" s="29"/>
      <c r="B356" s="29"/>
      <c r="C356" s="37"/>
      <c r="D356" s="29"/>
      <c r="E356" s="29"/>
      <c r="F356" s="37"/>
      <c r="G356" s="37"/>
      <c r="H356" s="37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  <c r="AA356" s="29"/>
    </row>
    <row r="357" ht="11.25" customHeight="1">
      <c r="A357" s="29"/>
      <c r="B357" s="29"/>
      <c r="C357" s="37"/>
      <c r="D357" s="29"/>
      <c r="E357" s="29"/>
      <c r="F357" s="37"/>
      <c r="G357" s="37"/>
      <c r="H357" s="37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  <c r="AA357" s="29"/>
    </row>
    <row r="358" ht="11.25" customHeight="1">
      <c r="A358" s="29"/>
      <c r="B358" s="29"/>
      <c r="C358" s="37"/>
      <c r="D358" s="29"/>
      <c r="E358" s="29"/>
      <c r="F358" s="37"/>
      <c r="G358" s="37"/>
      <c r="H358" s="37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  <c r="AA358" s="29"/>
    </row>
    <row r="359" ht="11.25" customHeight="1">
      <c r="A359" s="29"/>
      <c r="B359" s="29"/>
      <c r="C359" s="37"/>
      <c r="D359" s="29"/>
      <c r="E359" s="29"/>
      <c r="F359" s="37"/>
      <c r="G359" s="37"/>
      <c r="H359" s="37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  <c r="AA359" s="29"/>
    </row>
    <row r="360" ht="11.25" customHeight="1">
      <c r="A360" s="29"/>
      <c r="B360" s="29"/>
      <c r="C360" s="37"/>
      <c r="D360" s="29"/>
      <c r="E360" s="29"/>
      <c r="F360" s="37"/>
      <c r="G360" s="37"/>
      <c r="H360" s="37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</row>
    <row r="361" ht="11.25" customHeight="1">
      <c r="A361" s="29"/>
      <c r="B361" s="29"/>
      <c r="C361" s="37"/>
      <c r="D361" s="29"/>
      <c r="E361" s="29"/>
      <c r="F361" s="37"/>
      <c r="G361" s="37"/>
      <c r="H361" s="37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  <c r="AA361" s="29"/>
    </row>
    <row r="362" ht="11.25" customHeight="1">
      <c r="A362" s="29"/>
      <c r="B362" s="29"/>
      <c r="C362" s="37"/>
      <c r="D362" s="29"/>
      <c r="E362" s="29"/>
      <c r="F362" s="37"/>
      <c r="G362" s="37"/>
      <c r="H362" s="37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  <c r="AA362" s="29"/>
    </row>
    <row r="363" ht="11.25" customHeight="1">
      <c r="A363" s="29"/>
      <c r="B363" s="29"/>
      <c r="C363" s="37"/>
      <c r="D363" s="29"/>
      <c r="E363" s="29"/>
      <c r="F363" s="37"/>
      <c r="G363" s="37"/>
      <c r="H363" s="37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  <c r="AA363" s="29"/>
    </row>
    <row r="364" ht="11.25" customHeight="1">
      <c r="A364" s="29"/>
      <c r="B364" s="29"/>
      <c r="C364" s="37"/>
      <c r="D364" s="29"/>
      <c r="E364" s="29"/>
      <c r="F364" s="37"/>
      <c r="G364" s="37"/>
      <c r="H364" s="37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  <c r="AA364" s="29"/>
    </row>
    <row r="365" ht="11.25" customHeight="1">
      <c r="A365" s="29"/>
      <c r="B365" s="29"/>
      <c r="C365" s="37"/>
      <c r="D365" s="29"/>
      <c r="E365" s="29"/>
      <c r="F365" s="37"/>
      <c r="G365" s="37"/>
      <c r="H365" s="37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  <c r="AA365" s="29"/>
    </row>
    <row r="366" ht="11.25" customHeight="1">
      <c r="A366" s="29"/>
      <c r="B366" s="29"/>
      <c r="C366" s="37"/>
      <c r="D366" s="29"/>
      <c r="E366" s="29"/>
      <c r="F366" s="37"/>
      <c r="G366" s="37"/>
      <c r="H366" s="37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</row>
    <row r="367" ht="11.25" customHeight="1">
      <c r="A367" s="29"/>
      <c r="B367" s="29"/>
      <c r="C367" s="37"/>
      <c r="D367" s="29"/>
      <c r="E367" s="29"/>
      <c r="F367" s="37"/>
      <c r="G367" s="37"/>
      <c r="H367" s="37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  <c r="AA367" s="29"/>
    </row>
    <row r="368" ht="11.25" customHeight="1">
      <c r="A368" s="29"/>
      <c r="B368" s="29"/>
      <c r="C368" s="37"/>
      <c r="D368" s="29"/>
      <c r="E368" s="29"/>
      <c r="F368" s="37"/>
      <c r="G368" s="37"/>
      <c r="H368" s="37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  <c r="AA368" s="29"/>
    </row>
    <row r="369" ht="11.25" customHeight="1">
      <c r="A369" s="29"/>
      <c r="B369" s="29"/>
      <c r="C369" s="37"/>
      <c r="D369" s="29"/>
      <c r="E369" s="29"/>
      <c r="F369" s="37"/>
      <c r="G369" s="37"/>
      <c r="H369" s="37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  <c r="AA369" s="29"/>
    </row>
    <row r="370" ht="11.25" customHeight="1">
      <c r="A370" s="29"/>
      <c r="B370" s="29"/>
      <c r="C370" s="37"/>
      <c r="D370" s="29"/>
      <c r="E370" s="29"/>
      <c r="F370" s="37"/>
      <c r="G370" s="37"/>
      <c r="H370" s="37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  <c r="AA370" s="29"/>
    </row>
    <row r="371" ht="11.25" customHeight="1">
      <c r="A371" s="29"/>
      <c r="B371" s="29"/>
      <c r="C371" s="37"/>
      <c r="D371" s="29"/>
      <c r="E371" s="29"/>
      <c r="F371" s="37"/>
      <c r="G371" s="37"/>
      <c r="H371" s="37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  <c r="AA371" s="29"/>
    </row>
    <row r="372" ht="11.25" customHeight="1">
      <c r="A372" s="29"/>
      <c r="B372" s="29"/>
      <c r="C372" s="37"/>
      <c r="D372" s="29"/>
      <c r="E372" s="29"/>
      <c r="F372" s="37"/>
      <c r="G372" s="37"/>
      <c r="H372" s="37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</row>
    <row r="373" ht="11.25" customHeight="1">
      <c r="A373" s="29"/>
      <c r="B373" s="29"/>
      <c r="C373" s="37"/>
      <c r="D373" s="29"/>
      <c r="E373" s="29"/>
      <c r="F373" s="37"/>
      <c r="G373" s="37"/>
      <c r="H373" s="37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  <c r="AA373" s="29"/>
    </row>
    <row r="374" ht="11.25" customHeight="1">
      <c r="A374" s="29"/>
      <c r="B374" s="29"/>
      <c r="C374" s="37"/>
      <c r="D374" s="29"/>
      <c r="E374" s="29"/>
      <c r="F374" s="37"/>
      <c r="G374" s="37"/>
      <c r="H374" s="37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</row>
    <row r="375" ht="11.25" customHeight="1">
      <c r="A375" s="29"/>
      <c r="B375" s="29"/>
      <c r="C375" s="37"/>
      <c r="D375" s="29"/>
      <c r="E375" s="29"/>
      <c r="F375" s="37"/>
      <c r="G375" s="37"/>
      <c r="H375" s="37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  <c r="AA375" s="29"/>
    </row>
    <row r="376" ht="11.25" customHeight="1">
      <c r="A376" s="29"/>
      <c r="B376" s="29"/>
      <c r="C376" s="37"/>
      <c r="D376" s="29"/>
      <c r="E376" s="29"/>
      <c r="F376" s="37"/>
      <c r="G376" s="37"/>
      <c r="H376" s="37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</row>
    <row r="377" ht="11.25" customHeight="1">
      <c r="A377" s="29"/>
      <c r="B377" s="29"/>
      <c r="C377" s="37"/>
      <c r="D377" s="29"/>
      <c r="E377" s="29"/>
      <c r="F377" s="37"/>
      <c r="G377" s="37"/>
      <c r="H377" s="37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  <c r="AA377" s="29"/>
    </row>
    <row r="378" ht="11.25" customHeight="1">
      <c r="A378" s="29"/>
      <c r="B378" s="29"/>
      <c r="C378" s="37"/>
      <c r="D378" s="29"/>
      <c r="E378" s="29"/>
      <c r="F378" s="37"/>
      <c r="G378" s="37"/>
      <c r="H378" s="37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</row>
    <row r="379" ht="11.25" customHeight="1">
      <c r="A379" s="29"/>
      <c r="B379" s="29"/>
      <c r="C379" s="37"/>
      <c r="D379" s="29"/>
      <c r="E379" s="29"/>
      <c r="F379" s="37"/>
      <c r="G379" s="37"/>
      <c r="H379" s="37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  <c r="AA379" s="29"/>
    </row>
    <row r="380" ht="11.25" customHeight="1">
      <c r="A380" s="29"/>
      <c r="B380" s="29"/>
      <c r="C380" s="37"/>
      <c r="D380" s="29"/>
      <c r="E380" s="29"/>
      <c r="F380" s="37"/>
      <c r="G380" s="37"/>
      <c r="H380" s="37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</row>
    <row r="381" ht="11.25" customHeight="1">
      <c r="A381" s="29"/>
      <c r="B381" s="29"/>
      <c r="C381" s="37"/>
      <c r="D381" s="29"/>
      <c r="E381" s="29"/>
      <c r="F381" s="37"/>
      <c r="G381" s="37"/>
      <c r="H381" s="37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  <c r="AA381" s="29"/>
    </row>
    <row r="382" ht="11.25" customHeight="1">
      <c r="A382" s="29"/>
      <c r="B382" s="29"/>
      <c r="C382" s="37"/>
      <c r="D382" s="29"/>
      <c r="E382" s="29"/>
      <c r="F382" s="37"/>
      <c r="G382" s="37"/>
      <c r="H382" s="37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  <c r="AA382" s="29"/>
    </row>
    <row r="383" ht="11.25" customHeight="1">
      <c r="A383" s="29"/>
      <c r="B383" s="29"/>
      <c r="C383" s="37"/>
      <c r="D383" s="29"/>
      <c r="E383" s="29"/>
      <c r="F383" s="37"/>
      <c r="G383" s="37"/>
      <c r="H383" s="37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  <c r="AA383" s="29"/>
    </row>
    <row r="384" ht="11.25" customHeight="1">
      <c r="A384" s="29"/>
      <c r="B384" s="29"/>
      <c r="C384" s="37"/>
      <c r="D384" s="29"/>
      <c r="E384" s="29"/>
      <c r="F384" s="37"/>
      <c r="G384" s="37"/>
      <c r="H384" s="37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</row>
    <row r="385" ht="11.25" customHeight="1">
      <c r="A385" s="29"/>
      <c r="B385" s="29"/>
      <c r="C385" s="37"/>
      <c r="D385" s="29"/>
      <c r="E385" s="29"/>
      <c r="F385" s="37"/>
      <c r="G385" s="37"/>
      <c r="H385" s="37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  <c r="AA385" s="29"/>
    </row>
    <row r="386" ht="11.25" customHeight="1">
      <c r="A386" s="29"/>
      <c r="B386" s="29"/>
      <c r="C386" s="37"/>
      <c r="D386" s="29"/>
      <c r="E386" s="29"/>
      <c r="F386" s="37"/>
      <c r="G386" s="37"/>
      <c r="H386" s="37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  <c r="AA386" s="29"/>
    </row>
    <row r="387" ht="11.25" customHeight="1">
      <c r="A387" s="29"/>
      <c r="B387" s="29"/>
      <c r="C387" s="37"/>
      <c r="D387" s="29"/>
      <c r="E387" s="29"/>
      <c r="F387" s="37"/>
      <c r="G387" s="37"/>
      <c r="H387" s="37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  <c r="AA387" s="29"/>
    </row>
    <row r="388" ht="11.25" customHeight="1">
      <c r="A388" s="29"/>
      <c r="B388" s="29"/>
      <c r="C388" s="37"/>
      <c r="D388" s="29"/>
      <c r="E388" s="29"/>
      <c r="F388" s="37"/>
      <c r="G388" s="37"/>
      <c r="H388" s="37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</row>
    <row r="389" ht="11.25" customHeight="1">
      <c r="A389" s="29"/>
      <c r="B389" s="29"/>
      <c r="C389" s="37"/>
      <c r="D389" s="29"/>
      <c r="E389" s="29"/>
      <c r="F389" s="37"/>
      <c r="G389" s="37"/>
      <c r="H389" s="37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  <c r="AA389" s="29"/>
    </row>
    <row r="390" ht="11.25" customHeight="1">
      <c r="A390" s="29"/>
      <c r="B390" s="29"/>
      <c r="C390" s="37"/>
      <c r="D390" s="29"/>
      <c r="E390" s="29"/>
      <c r="F390" s="37"/>
      <c r="G390" s="37"/>
      <c r="H390" s="37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</row>
    <row r="391" ht="11.25" customHeight="1">
      <c r="A391" s="29"/>
      <c r="B391" s="29"/>
      <c r="C391" s="37"/>
      <c r="D391" s="29"/>
      <c r="E391" s="29"/>
      <c r="F391" s="37"/>
      <c r="G391" s="37"/>
      <c r="H391" s="37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  <c r="AA391" s="29"/>
    </row>
    <row r="392" ht="11.25" customHeight="1">
      <c r="A392" s="29"/>
      <c r="B392" s="29"/>
      <c r="C392" s="37"/>
      <c r="D392" s="29"/>
      <c r="E392" s="29"/>
      <c r="F392" s="37"/>
      <c r="G392" s="37"/>
      <c r="H392" s="37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</row>
    <row r="393" ht="11.25" customHeight="1">
      <c r="A393" s="29"/>
      <c r="B393" s="29"/>
      <c r="C393" s="37"/>
      <c r="D393" s="29"/>
      <c r="E393" s="29"/>
      <c r="F393" s="37"/>
      <c r="G393" s="37"/>
      <c r="H393" s="37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  <c r="AA393" s="29"/>
    </row>
    <row r="394" ht="11.25" customHeight="1">
      <c r="A394" s="29"/>
      <c r="B394" s="29"/>
      <c r="C394" s="37"/>
      <c r="D394" s="29"/>
      <c r="E394" s="29"/>
      <c r="F394" s="37"/>
      <c r="G394" s="37"/>
      <c r="H394" s="37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  <c r="AA394" s="29"/>
    </row>
    <row r="395" ht="11.25" customHeight="1">
      <c r="A395" s="29"/>
      <c r="B395" s="29"/>
      <c r="C395" s="37"/>
      <c r="D395" s="29"/>
      <c r="E395" s="29"/>
      <c r="F395" s="37"/>
      <c r="G395" s="37"/>
      <c r="H395" s="37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  <c r="AA395" s="29"/>
    </row>
    <row r="396" ht="11.25" customHeight="1">
      <c r="A396" s="29"/>
      <c r="B396" s="29"/>
      <c r="C396" s="37"/>
      <c r="D396" s="29"/>
      <c r="E396" s="29"/>
      <c r="F396" s="37"/>
      <c r="G396" s="37"/>
      <c r="H396" s="37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</row>
    <row r="397" ht="11.25" customHeight="1">
      <c r="A397" s="29"/>
      <c r="B397" s="29"/>
      <c r="C397" s="37"/>
      <c r="D397" s="29"/>
      <c r="E397" s="29"/>
      <c r="F397" s="37"/>
      <c r="G397" s="37"/>
      <c r="H397" s="37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  <c r="AA397" s="29"/>
    </row>
    <row r="398" ht="11.25" customHeight="1">
      <c r="A398" s="29"/>
      <c r="B398" s="29"/>
      <c r="C398" s="37"/>
      <c r="D398" s="29"/>
      <c r="E398" s="29"/>
      <c r="F398" s="37"/>
      <c r="G398" s="37"/>
      <c r="H398" s="37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  <c r="AA398" s="29"/>
    </row>
    <row r="399" ht="11.25" customHeight="1">
      <c r="A399" s="29"/>
      <c r="B399" s="29"/>
      <c r="C399" s="37"/>
      <c r="D399" s="29"/>
      <c r="E399" s="29"/>
      <c r="F399" s="37"/>
      <c r="G399" s="37"/>
      <c r="H399" s="37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  <c r="AA399" s="29"/>
    </row>
    <row r="400" ht="11.25" customHeight="1">
      <c r="A400" s="29"/>
      <c r="B400" s="29"/>
      <c r="C400" s="37"/>
      <c r="D400" s="29"/>
      <c r="E400" s="29"/>
      <c r="F400" s="37"/>
      <c r="G400" s="37"/>
      <c r="H400" s="37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  <c r="AA400" s="29"/>
    </row>
    <row r="401" ht="11.25" customHeight="1">
      <c r="A401" s="29"/>
      <c r="B401" s="29"/>
      <c r="C401" s="37"/>
      <c r="D401" s="29"/>
      <c r="E401" s="29"/>
      <c r="F401" s="37"/>
      <c r="G401" s="37"/>
      <c r="H401" s="37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  <c r="AA401" s="29"/>
    </row>
    <row r="402" ht="11.25" customHeight="1">
      <c r="A402" s="29"/>
      <c r="B402" s="29"/>
      <c r="C402" s="37"/>
      <c r="D402" s="29"/>
      <c r="E402" s="29"/>
      <c r="F402" s="37"/>
      <c r="G402" s="37"/>
      <c r="H402" s="37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  <c r="AA402" s="29"/>
    </row>
    <row r="403" ht="11.25" customHeight="1">
      <c r="A403" s="29"/>
      <c r="B403" s="29"/>
      <c r="C403" s="37"/>
      <c r="D403" s="29"/>
      <c r="E403" s="29"/>
      <c r="F403" s="37"/>
      <c r="G403" s="37"/>
      <c r="H403" s="37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  <c r="AA403" s="29"/>
    </row>
    <row r="404" ht="11.25" customHeight="1">
      <c r="A404" s="29"/>
      <c r="B404" s="29"/>
      <c r="C404" s="37"/>
      <c r="D404" s="29"/>
      <c r="E404" s="29"/>
      <c r="F404" s="37"/>
      <c r="G404" s="37"/>
      <c r="H404" s="37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</row>
    <row r="405" ht="11.25" customHeight="1">
      <c r="A405" s="29"/>
      <c r="B405" s="29"/>
      <c r="C405" s="37"/>
      <c r="D405" s="29"/>
      <c r="E405" s="29"/>
      <c r="F405" s="37"/>
      <c r="G405" s="37"/>
      <c r="H405" s="37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  <c r="AA405" s="29"/>
    </row>
    <row r="406" ht="11.25" customHeight="1">
      <c r="A406" s="29"/>
      <c r="B406" s="29"/>
      <c r="C406" s="37"/>
      <c r="D406" s="29"/>
      <c r="E406" s="29"/>
      <c r="F406" s="37"/>
      <c r="G406" s="37"/>
      <c r="H406" s="37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  <c r="AA406" s="29"/>
    </row>
    <row r="407" ht="11.25" customHeight="1">
      <c r="A407" s="29"/>
      <c r="B407" s="29"/>
      <c r="C407" s="37"/>
      <c r="D407" s="29"/>
      <c r="E407" s="29"/>
      <c r="F407" s="37"/>
      <c r="G407" s="37"/>
      <c r="H407" s="37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  <c r="AA407" s="29"/>
    </row>
    <row r="408" ht="11.25" customHeight="1">
      <c r="A408" s="29"/>
      <c r="B408" s="29"/>
      <c r="C408" s="37"/>
      <c r="D408" s="29"/>
      <c r="E408" s="29"/>
      <c r="F408" s="37"/>
      <c r="G408" s="37"/>
      <c r="H408" s="37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</row>
    <row r="409" ht="11.25" customHeight="1">
      <c r="A409" s="29"/>
      <c r="B409" s="29"/>
      <c r="C409" s="37"/>
      <c r="D409" s="29"/>
      <c r="E409" s="29"/>
      <c r="F409" s="37"/>
      <c r="G409" s="37"/>
      <c r="H409" s="37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  <c r="AA409" s="29"/>
    </row>
    <row r="410" ht="11.25" customHeight="1">
      <c r="A410" s="29"/>
      <c r="B410" s="29"/>
      <c r="C410" s="37"/>
      <c r="D410" s="29"/>
      <c r="E410" s="29"/>
      <c r="F410" s="37"/>
      <c r="G410" s="37"/>
      <c r="H410" s="37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29"/>
    </row>
    <row r="411" ht="11.25" customHeight="1">
      <c r="A411" s="29"/>
      <c r="B411" s="29"/>
      <c r="C411" s="37"/>
      <c r="D411" s="29"/>
      <c r="E411" s="29"/>
      <c r="F411" s="37"/>
      <c r="G411" s="37"/>
      <c r="H411" s="37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  <c r="AA411" s="29"/>
    </row>
    <row r="412" ht="11.25" customHeight="1">
      <c r="A412" s="29"/>
      <c r="B412" s="29"/>
      <c r="C412" s="37"/>
      <c r="D412" s="29"/>
      <c r="E412" s="29"/>
      <c r="F412" s="37"/>
      <c r="G412" s="37"/>
      <c r="H412" s="37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  <c r="AA412" s="29"/>
    </row>
    <row r="413" ht="11.25" customHeight="1">
      <c r="A413" s="29"/>
      <c r="B413" s="29"/>
      <c r="C413" s="37"/>
      <c r="D413" s="29"/>
      <c r="E413" s="29"/>
      <c r="F413" s="37"/>
      <c r="G413" s="37"/>
      <c r="H413" s="37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  <c r="AA413" s="29"/>
    </row>
    <row r="414" ht="11.25" customHeight="1">
      <c r="A414" s="29"/>
      <c r="B414" s="29"/>
      <c r="C414" s="37"/>
      <c r="D414" s="29"/>
      <c r="E414" s="29"/>
      <c r="F414" s="37"/>
      <c r="G414" s="37"/>
      <c r="H414" s="37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  <c r="AA414" s="29"/>
    </row>
    <row r="415" ht="11.25" customHeight="1">
      <c r="A415" s="29"/>
      <c r="B415" s="29"/>
      <c r="C415" s="37"/>
      <c r="D415" s="29"/>
      <c r="E415" s="29"/>
      <c r="F415" s="37"/>
      <c r="G415" s="37"/>
      <c r="H415" s="37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  <c r="AA415" s="29"/>
    </row>
    <row r="416" ht="11.25" customHeight="1">
      <c r="A416" s="29"/>
      <c r="B416" s="29"/>
      <c r="C416" s="37"/>
      <c r="D416" s="29"/>
      <c r="E416" s="29"/>
      <c r="F416" s="37"/>
      <c r="G416" s="37"/>
      <c r="H416" s="37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  <c r="AA416" s="29"/>
    </row>
    <row r="417" ht="11.25" customHeight="1">
      <c r="A417" s="29"/>
      <c r="B417" s="29"/>
      <c r="C417" s="37"/>
      <c r="D417" s="29"/>
      <c r="E417" s="29"/>
      <c r="F417" s="37"/>
      <c r="G417" s="37"/>
      <c r="H417" s="37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  <c r="AA417" s="29"/>
    </row>
    <row r="418" ht="11.25" customHeight="1">
      <c r="A418" s="29"/>
      <c r="B418" s="29"/>
      <c r="C418" s="37"/>
      <c r="D418" s="29"/>
      <c r="E418" s="29"/>
      <c r="F418" s="37"/>
      <c r="G418" s="37"/>
      <c r="H418" s="37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  <c r="AA418" s="29"/>
    </row>
    <row r="419" ht="11.25" customHeight="1">
      <c r="A419" s="29"/>
      <c r="B419" s="29"/>
      <c r="C419" s="37"/>
      <c r="D419" s="29"/>
      <c r="E419" s="29"/>
      <c r="F419" s="37"/>
      <c r="G419" s="37"/>
      <c r="H419" s="37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  <c r="AA419" s="29"/>
    </row>
    <row r="420" ht="11.25" customHeight="1">
      <c r="A420" s="29"/>
      <c r="B420" s="29"/>
      <c r="C420" s="37"/>
      <c r="D420" s="29"/>
      <c r="E420" s="29"/>
      <c r="F420" s="37"/>
      <c r="G420" s="37"/>
      <c r="H420" s="37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</row>
    <row r="421" ht="11.25" customHeight="1">
      <c r="A421" s="29"/>
      <c r="B421" s="29"/>
      <c r="C421" s="37"/>
      <c r="D421" s="29"/>
      <c r="E421" s="29"/>
      <c r="F421" s="37"/>
      <c r="G421" s="37"/>
      <c r="H421" s="37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  <c r="AA421" s="29"/>
    </row>
    <row r="422" ht="11.25" customHeight="1">
      <c r="A422" s="29"/>
      <c r="B422" s="29"/>
      <c r="C422" s="37"/>
      <c r="D422" s="29"/>
      <c r="E422" s="29"/>
      <c r="F422" s="37"/>
      <c r="G422" s="37"/>
      <c r="H422" s="37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  <c r="AA422" s="29"/>
    </row>
    <row r="423" ht="11.25" customHeight="1">
      <c r="A423" s="29"/>
      <c r="B423" s="29"/>
      <c r="C423" s="37"/>
      <c r="D423" s="29"/>
      <c r="E423" s="29"/>
      <c r="F423" s="37"/>
      <c r="G423" s="37"/>
      <c r="H423" s="37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  <c r="AA423" s="29"/>
    </row>
    <row r="424" ht="11.25" customHeight="1">
      <c r="A424" s="29"/>
      <c r="B424" s="29"/>
      <c r="C424" s="37"/>
      <c r="D424" s="29"/>
      <c r="E424" s="29"/>
      <c r="F424" s="37"/>
      <c r="G424" s="37"/>
      <c r="H424" s="37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  <c r="AA424" s="29"/>
    </row>
    <row r="425" ht="11.25" customHeight="1">
      <c r="A425" s="29"/>
      <c r="B425" s="29"/>
      <c r="C425" s="37"/>
      <c r="D425" s="29"/>
      <c r="E425" s="29"/>
      <c r="F425" s="37"/>
      <c r="G425" s="37"/>
      <c r="H425" s="37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  <c r="AA425" s="29"/>
    </row>
    <row r="426" ht="11.25" customHeight="1">
      <c r="A426" s="29"/>
      <c r="B426" s="29"/>
      <c r="C426" s="37"/>
      <c r="D426" s="29"/>
      <c r="E426" s="29"/>
      <c r="F426" s="37"/>
      <c r="G426" s="37"/>
      <c r="H426" s="37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</row>
    <row r="427" ht="11.25" customHeight="1">
      <c r="A427" s="29"/>
      <c r="B427" s="29"/>
      <c r="C427" s="37"/>
      <c r="D427" s="29"/>
      <c r="E427" s="29"/>
      <c r="F427" s="37"/>
      <c r="G427" s="37"/>
      <c r="H427" s="37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  <c r="AA427" s="29"/>
    </row>
    <row r="428" ht="11.25" customHeight="1">
      <c r="A428" s="29"/>
      <c r="B428" s="29"/>
      <c r="C428" s="37"/>
      <c r="D428" s="29"/>
      <c r="E428" s="29"/>
      <c r="F428" s="37"/>
      <c r="G428" s="37"/>
      <c r="H428" s="37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</row>
    <row r="429" ht="11.25" customHeight="1">
      <c r="A429" s="29"/>
      <c r="B429" s="29"/>
      <c r="C429" s="37"/>
      <c r="D429" s="29"/>
      <c r="E429" s="29"/>
      <c r="F429" s="37"/>
      <c r="G429" s="37"/>
      <c r="H429" s="37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  <c r="AA429" s="29"/>
    </row>
    <row r="430" ht="11.25" customHeight="1">
      <c r="A430" s="29"/>
      <c r="B430" s="29"/>
      <c r="C430" s="37"/>
      <c r="D430" s="29"/>
      <c r="E430" s="29"/>
      <c r="F430" s="37"/>
      <c r="G430" s="37"/>
      <c r="H430" s="37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</row>
    <row r="431" ht="11.25" customHeight="1">
      <c r="A431" s="29"/>
      <c r="B431" s="29"/>
      <c r="C431" s="37"/>
      <c r="D431" s="29"/>
      <c r="E431" s="29"/>
      <c r="F431" s="37"/>
      <c r="G431" s="37"/>
      <c r="H431" s="37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  <c r="AA431" s="29"/>
    </row>
    <row r="432" ht="11.25" customHeight="1">
      <c r="A432" s="29"/>
      <c r="B432" s="29"/>
      <c r="C432" s="37"/>
      <c r="D432" s="29"/>
      <c r="E432" s="29"/>
      <c r="F432" s="37"/>
      <c r="G432" s="37"/>
      <c r="H432" s="37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</row>
    <row r="433" ht="11.25" customHeight="1">
      <c r="A433" s="29"/>
      <c r="B433" s="29"/>
      <c r="C433" s="37"/>
      <c r="D433" s="29"/>
      <c r="E433" s="29"/>
      <c r="F433" s="37"/>
      <c r="G433" s="37"/>
      <c r="H433" s="37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  <c r="AA433" s="29"/>
    </row>
    <row r="434" ht="11.25" customHeight="1">
      <c r="A434" s="29"/>
      <c r="B434" s="29"/>
      <c r="C434" s="37"/>
      <c r="D434" s="29"/>
      <c r="E434" s="29"/>
      <c r="F434" s="37"/>
      <c r="G434" s="37"/>
      <c r="H434" s="37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</row>
    <row r="435" ht="11.25" customHeight="1">
      <c r="A435" s="29"/>
      <c r="B435" s="29"/>
      <c r="C435" s="37"/>
      <c r="D435" s="29"/>
      <c r="E435" s="29"/>
      <c r="F435" s="37"/>
      <c r="G435" s="37"/>
      <c r="H435" s="37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  <c r="AA435" s="29"/>
    </row>
    <row r="436" ht="11.25" customHeight="1">
      <c r="A436" s="29"/>
      <c r="B436" s="29"/>
      <c r="C436" s="37"/>
      <c r="D436" s="29"/>
      <c r="E436" s="29"/>
      <c r="F436" s="37"/>
      <c r="G436" s="37"/>
      <c r="H436" s="37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</row>
    <row r="437" ht="11.25" customHeight="1">
      <c r="A437" s="29"/>
      <c r="B437" s="29"/>
      <c r="C437" s="37"/>
      <c r="D437" s="29"/>
      <c r="E437" s="29"/>
      <c r="F437" s="37"/>
      <c r="G437" s="37"/>
      <c r="H437" s="37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  <c r="AA437" s="29"/>
    </row>
    <row r="438" ht="11.25" customHeight="1">
      <c r="A438" s="29"/>
      <c r="B438" s="29"/>
      <c r="C438" s="37"/>
      <c r="D438" s="29"/>
      <c r="E438" s="29"/>
      <c r="F438" s="37"/>
      <c r="G438" s="37"/>
      <c r="H438" s="37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  <c r="AA438" s="29"/>
    </row>
    <row r="439" ht="11.25" customHeight="1">
      <c r="A439" s="29"/>
      <c r="B439" s="29"/>
      <c r="C439" s="37"/>
      <c r="D439" s="29"/>
      <c r="E439" s="29"/>
      <c r="F439" s="37"/>
      <c r="G439" s="37"/>
      <c r="H439" s="37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  <c r="AA439" s="29"/>
    </row>
    <row r="440" ht="11.25" customHeight="1">
      <c r="A440" s="29"/>
      <c r="B440" s="29"/>
      <c r="C440" s="37"/>
      <c r="D440" s="29"/>
      <c r="E440" s="29"/>
      <c r="F440" s="37"/>
      <c r="G440" s="37"/>
      <c r="H440" s="37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  <c r="AA440" s="29"/>
    </row>
    <row r="441" ht="11.25" customHeight="1">
      <c r="A441" s="29"/>
      <c r="B441" s="29"/>
      <c r="C441" s="37"/>
      <c r="D441" s="29"/>
      <c r="E441" s="29"/>
      <c r="F441" s="37"/>
      <c r="G441" s="37"/>
      <c r="H441" s="37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  <c r="AA441" s="29"/>
    </row>
    <row r="442" ht="11.25" customHeight="1">
      <c r="A442" s="29"/>
      <c r="B442" s="29"/>
      <c r="C442" s="37"/>
      <c r="D442" s="29"/>
      <c r="E442" s="29"/>
      <c r="F442" s="37"/>
      <c r="G442" s="37"/>
      <c r="H442" s="37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  <c r="AA442" s="29"/>
    </row>
    <row r="443" ht="11.25" customHeight="1">
      <c r="A443" s="29"/>
      <c r="B443" s="29"/>
      <c r="C443" s="37"/>
      <c r="D443" s="29"/>
      <c r="E443" s="29"/>
      <c r="F443" s="37"/>
      <c r="G443" s="37"/>
      <c r="H443" s="37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  <c r="AA443" s="29"/>
    </row>
    <row r="444" ht="11.25" customHeight="1">
      <c r="A444" s="29"/>
      <c r="B444" s="29"/>
      <c r="C444" s="37"/>
      <c r="D444" s="29"/>
      <c r="E444" s="29"/>
      <c r="F444" s="37"/>
      <c r="G444" s="37"/>
      <c r="H444" s="37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  <c r="AA444" s="29"/>
    </row>
    <row r="445" ht="11.25" customHeight="1">
      <c r="A445" s="29"/>
      <c r="B445" s="29"/>
      <c r="C445" s="37"/>
      <c r="D445" s="29"/>
      <c r="E445" s="29"/>
      <c r="F445" s="37"/>
      <c r="G445" s="37"/>
      <c r="H445" s="37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  <c r="AA445" s="29"/>
    </row>
    <row r="446" ht="11.25" customHeight="1">
      <c r="A446" s="29"/>
      <c r="B446" s="29"/>
      <c r="C446" s="37"/>
      <c r="D446" s="29"/>
      <c r="E446" s="29"/>
      <c r="F446" s="37"/>
      <c r="G446" s="37"/>
      <c r="H446" s="37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  <c r="AA446" s="29"/>
    </row>
    <row r="447" ht="11.25" customHeight="1">
      <c r="A447" s="29"/>
      <c r="B447" s="29"/>
      <c r="C447" s="37"/>
      <c r="D447" s="29"/>
      <c r="E447" s="29"/>
      <c r="F447" s="37"/>
      <c r="G447" s="37"/>
      <c r="H447" s="37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  <c r="AA447" s="29"/>
    </row>
    <row r="448" ht="11.25" customHeight="1">
      <c r="A448" s="29"/>
      <c r="B448" s="29"/>
      <c r="C448" s="37"/>
      <c r="D448" s="29"/>
      <c r="E448" s="29"/>
      <c r="F448" s="37"/>
      <c r="G448" s="37"/>
      <c r="H448" s="37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  <c r="AA448" s="29"/>
    </row>
    <row r="449" ht="11.25" customHeight="1">
      <c r="A449" s="29"/>
      <c r="B449" s="29"/>
      <c r="C449" s="37"/>
      <c r="D449" s="29"/>
      <c r="E449" s="29"/>
      <c r="F449" s="37"/>
      <c r="G449" s="37"/>
      <c r="H449" s="37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  <c r="AA449" s="29"/>
    </row>
    <row r="450" ht="11.25" customHeight="1">
      <c r="A450" s="29"/>
      <c r="B450" s="29"/>
      <c r="C450" s="37"/>
      <c r="D450" s="29"/>
      <c r="E450" s="29"/>
      <c r="F450" s="37"/>
      <c r="G450" s="37"/>
      <c r="H450" s="37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29"/>
    </row>
    <row r="451" ht="11.25" customHeight="1">
      <c r="A451" s="29"/>
      <c r="B451" s="29"/>
      <c r="C451" s="37"/>
      <c r="D451" s="29"/>
      <c r="E451" s="29"/>
      <c r="F451" s="37"/>
      <c r="G451" s="37"/>
      <c r="H451" s="37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  <c r="AA451" s="29"/>
    </row>
    <row r="452" ht="11.25" customHeight="1">
      <c r="A452" s="29"/>
      <c r="B452" s="29"/>
      <c r="C452" s="37"/>
      <c r="D452" s="29"/>
      <c r="E452" s="29"/>
      <c r="F452" s="37"/>
      <c r="G452" s="37"/>
      <c r="H452" s="37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</row>
    <row r="453" ht="11.25" customHeight="1">
      <c r="A453" s="29"/>
      <c r="B453" s="29"/>
      <c r="C453" s="37"/>
      <c r="D453" s="29"/>
      <c r="E453" s="29"/>
      <c r="F453" s="37"/>
      <c r="G453" s="37"/>
      <c r="H453" s="37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  <c r="AA453" s="29"/>
    </row>
    <row r="454" ht="11.25" customHeight="1">
      <c r="A454" s="29"/>
      <c r="B454" s="29"/>
      <c r="C454" s="37"/>
      <c r="D454" s="29"/>
      <c r="E454" s="29"/>
      <c r="F454" s="37"/>
      <c r="G454" s="37"/>
      <c r="H454" s="37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  <c r="AA454" s="29"/>
    </row>
    <row r="455" ht="11.25" customHeight="1">
      <c r="A455" s="29"/>
      <c r="B455" s="29"/>
      <c r="C455" s="37"/>
      <c r="D455" s="29"/>
      <c r="E455" s="29"/>
      <c r="F455" s="37"/>
      <c r="G455" s="37"/>
      <c r="H455" s="37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  <c r="AA455" s="29"/>
    </row>
    <row r="456" ht="11.25" customHeight="1">
      <c r="A456" s="29"/>
      <c r="B456" s="29"/>
      <c r="C456" s="37"/>
      <c r="D456" s="29"/>
      <c r="E456" s="29"/>
      <c r="F456" s="37"/>
      <c r="G456" s="37"/>
      <c r="H456" s="37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</row>
    <row r="457" ht="11.25" customHeight="1">
      <c r="A457" s="29"/>
      <c r="B457" s="29"/>
      <c r="C457" s="37"/>
      <c r="D457" s="29"/>
      <c r="E457" s="29"/>
      <c r="F457" s="37"/>
      <c r="G457" s="37"/>
      <c r="H457" s="37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  <c r="AA457" s="29"/>
    </row>
    <row r="458" ht="11.25" customHeight="1">
      <c r="A458" s="29"/>
      <c r="B458" s="29"/>
      <c r="C458" s="37"/>
      <c r="D458" s="29"/>
      <c r="E458" s="29"/>
      <c r="F458" s="37"/>
      <c r="G458" s="37"/>
      <c r="H458" s="37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  <c r="AA458" s="29"/>
    </row>
    <row r="459" ht="11.25" customHeight="1">
      <c r="A459" s="29"/>
      <c r="B459" s="29"/>
      <c r="C459" s="37"/>
      <c r="D459" s="29"/>
      <c r="E459" s="29"/>
      <c r="F459" s="37"/>
      <c r="G459" s="37"/>
      <c r="H459" s="37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  <c r="AA459" s="29"/>
    </row>
    <row r="460" ht="11.25" customHeight="1">
      <c r="A460" s="29"/>
      <c r="B460" s="29"/>
      <c r="C460" s="37"/>
      <c r="D460" s="29"/>
      <c r="E460" s="29"/>
      <c r="F460" s="37"/>
      <c r="G460" s="37"/>
      <c r="H460" s="37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  <c r="AA460" s="29"/>
    </row>
    <row r="461" ht="11.25" customHeight="1">
      <c r="A461" s="29"/>
      <c r="B461" s="29"/>
      <c r="C461" s="37"/>
      <c r="D461" s="29"/>
      <c r="E461" s="29"/>
      <c r="F461" s="37"/>
      <c r="G461" s="37"/>
      <c r="H461" s="37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  <c r="AA461" s="29"/>
    </row>
    <row r="462" ht="11.25" customHeight="1">
      <c r="A462" s="29"/>
      <c r="B462" s="29"/>
      <c r="C462" s="37"/>
      <c r="D462" s="29"/>
      <c r="E462" s="29"/>
      <c r="F462" s="37"/>
      <c r="G462" s="37"/>
      <c r="H462" s="37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  <c r="AA462" s="29"/>
    </row>
    <row r="463" ht="11.25" customHeight="1">
      <c r="A463" s="29"/>
      <c r="B463" s="29"/>
      <c r="C463" s="37"/>
      <c r="D463" s="29"/>
      <c r="E463" s="29"/>
      <c r="F463" s="37"/>
      <c r="G463" s="37"/>
      <c r="H463" s="37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  <c r="AA463" s="29"/>
    </row>
    <row r="464" ht="11.25" customHeight="1">
      <c r="A464" s="29"/>
      <c r="B464" s="29"/>
      <c r="C464" s="37"/>
      <c r="D464" s="29"/>
      <c r="E464" s="29"/>
      <c r="F464" s="37"/>
      <c r="G464" s="37"/>
      <c r="H464" s="37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  <c r="AA464" s="29"/>
    </row>
    <row r="465" ht="11.25" customHeight="1">
      <c r="A465" s="29"/>
      <c r="B465" s="29"/>
      <c r="C465" s="37"/>
      <c r="D465" s="29"/>
      <c r="E465" s="29"/>
      <c r="F465" s="37"/>
      <c r="G465" s="37"/>
      <c r="H465" s="37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  <c r="AA465" s="29"/>
    </row>
    <row r="466" ht="11.25" customHeight="1">
      <c r="A466" s="29"/>
      <c r="B466" s="29"/>
      <c r="C466" s="37"/>
      <c r="D466" s="29"/>
      <c r="E466" s="29"/>
      <c r="F466" s="37"/>
      <c r="G466" s="37"/>
      <c r="H466" s="37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  <c r="AA466" s="29"/>
    </row>
    <row r="467" ht="11.25" customHeight="1">
      <c r="A467" s="29"/>
      <c r="B467" s="29"/>
      <c r="C467" s="37"/>
      <c r="D467" s="29"/>
      <c r="E467" s="29"/>
      <c r="F467" s="37"/>
      <c r="G467" s="37"/>
      <c r="H467" s="37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  <c r="AA467" s="29"/>
    </row>
    <row r="468" ht="11.25" customHeight="1">
      <c r="A468" s="29"/>
      <c r="B468" s="29"/>
      <c r="C468" s="37"/>
      <c r="D468" s="29"/>
      <c r="E468" s="29"/>
      <c r="F468" s="37"/>
      <c r="G468" s="37"/>
      <c r="H468" s="37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  <c r="AA468" s="29"/>
    </row>
    <row r="469" ht="11.25" customHeight="1">
      <c r="A469" s="29"/>
      <c r="B469" s="29"/>
      <c r="C469" s="37"/>
      <c r="D469" s="29"/>
      <c r="E469" s="29"/>
      <c r="F469" s="37"/>
      <c r="G469" s="37"/>
      <c r="H469" s="37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  <c r="AA469" s="29"/>
    </row>
    <row r="470" ht="11.25" customHeight="1">
      <c r="A470" s="29"/>
      <c r="B470" s="29"/>
      <c r="C470" s="37"/>
      <c r="D470" s="29"/>
      <c r="E470" s="29"/>
      <c r="F470" s="37"/>
      <c r="G470" s="37"/>
      <c r="H470" s="37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  <c r="AA470" s="29"/>
    </row>
    <row r="471" ht="11.25" customHeight="1">
      <c r="A471" s="29"/>
      <c r="B471" s="29"/>
      <c r="C471" s="37"/>
      <c r="D471" s="29"/>
      <c r="E471" s="29"/>
      <c r="F471" s="37"/>
      <c r="G471" s="37"/>
      <c r="H471" s="37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  <c r="AA471" s="29"/>
    </row>
    <row r="472" ht="11.25" customHeight="1">
      <c r="A472" s="29"/>
      <c r="B472" s="29"/>
      <c r="C472" s="37"/>
      <c r="D472" s="29"/>
      <c r="E472" s="29"/>
      <c r="F472" s="37"/>
      <c r="G472" s="37"/>
      <c r="H472" s="37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  <c r="AA472" s="29"/>
    </row>
    <row r="473" ht="11.25" customHeight="1">
      <c r="A473" s="29"/>
      <c r="B473" s="29"/>
      <c r="C473" s="37"/>
      <c r="D473" s="29"/>
      <c r="E473" s="29"/>
      <c r="F473" s="37"/>
      <c r="G473" s="37"/>
      <c r="H473" s="37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  <c r="AA473" s="29"/>
    </row>
    <row r="474" ht="11.25" customHeight="1">
      <c r="A474" s="29"/>
      <c r="B474" s="29"/>
      <c r="C474" s="37"/>
      <c r="D474" s="29"/>
      <c r="E474" s="29"/>
      <c r="F474" s="37"/>
      <c r="G474" s="37"/>
      <c r="H474" s="37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  <c r="AA474" s="29"/>
    </row>
    <row r="475" ht="11.25" customHeight="1">
      <c r="A475" s="29"/>
      <c r="B475" s="29"/>
      <c r="C475" s="37"/>
      <c r="D475" s="29"/>
      <c r="E475" s="29"/>
      <c r="F475" s="37"/>
      <c r="G475" s="37"/>
      <c r="H475" s="37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  <c r="AA475" s="29"/>
    </row>
    <row r="476" ht="11.25" customHeight="1">
      <c r="A476" s="29"/>
      <c r="B476" s="29"/>
      <c r="C476" s="37"/>
      <c r="D476" s="29"/>
      <c r="E476" s="29"/>
      <c r="F476" s="37"/>
      <c r="G476" s="37"/>
      <c r="H476" s="37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  <c r="AA476" s="29"/>
    </row>
    <row r="477" ht="11.25" customHeight="1">
      <c r="A477" s="29"/>
      <c r="B477" s="29"/>
      <c r="C477" s="37"/>
      <c r="D477" s="29"/>
      <c r="E477" s="29"/>
      <c r="F477" s="37"/>
      <c r="G477" s="37"/>
      <c r="H477" s="37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  <c r="AA477" s="29"/>
    </row>
    <row r="478" ht="11.25" customHeight="1">
      <c r="A478" s="29"/>
      <c r="B478" s="29"/>
      <c r="C478" s="37"/>
      <c r="D478" s="29"/>
      <c r="E478" s="29"/>
      <c r="F478" s="37"/>
      <c r="G478" s="37"/>
      <c r="H478" s="37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  <c r="AA478" s="29"/>
    </row>
    <row r="479" ht="11.25" customHeight="1">
      <c r="A479" s="29"/>
      <c r="B479" s="29"/>
      <c r="C479" s="37"/>
      <c r="D479" s="29"/>
      <c r="E479" s="29"/>
      <c r="F479" s="37"/>
      <c r="G479" s="37"/>
      <c r="H479" s="37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  <c r="AA479" s="29"/>
    </row>
    <row r="480" ht="11.25" customHeight="1">
      <c r="A480" s="29"/>
      <c r="B480" s="29"/>
      <c r="C480" s="37"/>
      <c r="D480" s="29"/>
      <c r="E480" s="29"/>
      <c r="F480" s="37"/>
      <c r="G480" s="37"/>
      <c r="H480" s="37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</row>
    <row r="481" ht="11.25" customHeight="1">
      <c r="A481" s="29"/>
      <c r="B481" s="29"/>
      <c r="C481" s="37"/>
      <c r="D481" s="29"/>
      <c r="E481" s="29"/>
      <c r="F481" s="37"/>
      <c r="G481" s="37"/>
      <c r="H481" s="37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  <c r="AA481" s="29"/>
    </row>
    <row r="482" ht="11.25" customHeight="1">
      <c r="A482" s="29"/>
      <c r="B482" s="29"/>
      <c r="C482" s="37"/>
      <c r="D482" s="29"/>
      <c r="E482" s="29"/>
      <c r="F482" s="37"/>
      <c r="G482" s="37"/>
      <c r="H482" s="37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  <c r="AA482" s="29"/>
    </row>
    <row r="483" ht="11.25" customHeight="1">
      <c r="A483" s="29"/>
      <c r="B483" s="29"/>
      <c r="C483" s="37"/>
      <c r="D483" s="29"/>
      <c r="E483" s="29"/>
      <c r="F483" s="37"/>
      <c r="G483" s="37"/>
      <c r="H483" s="37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  <c r="AA483" s="29"/>
    </row>
    <row r="484" ht="11.25" customHeight="1">
      <c r="A484" s="29"/>
      <c r="B484" s="29"/>
      <c r="C484" s="37"/>
      <c r="D484" s="29"/>
      <c r="E484" s="29"/>
      <c r="F484" s="37"/>
      <c r="G484" s="37"/>
      <c r="H484" s="37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  <c r="AA484" s="29"/>
    </row>
    <row r="485" ht="11.25" customHeight="1">
      <c r="A485" s="29"/>
      <c r="B485" s="29"/>
      <c r="C485" s="37"/>
      <c r="D485" s="29"/>
      <c r="E485" s="29"/>
      <c r="F485" s="37"/>
      <c r="G485" s="37"/>
      <c r="H485" s="37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  <c r="AA485" s="29"/>
    </row>
    <row r="486" ht="11.25" customHeight="1">
      <c r="A486" s="29"/>
      <c r="B486" s="29"/>
      <c r="C486" s="37"/>
      <c r="D486" s="29"/>
      <c r="E486" s="29"/>
      <c r="F486" s="37"/>
      <c r="G486" s="37"/>
      <c r="H486" s="37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  <c r="AA486" s="29"/>
    </row>
    <row r="487" ht="11.25" customHeight="1">
      <c r="A487" s="29"/>
      <c r="B487" s="29"/>
      <c r="C487" s="37"/>
      <c r="D487" s="29"/>
      <c r="E487" s="29"/>
      <c r="F487" s="37"/>
      <c r="G487" s="37"/>
      <c r="H487" s="37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  <c r="AA487" s="29"/>
    </row>
    <row r="488" ht="11.25" customHeight="1">
      <c r="A488" s="29"/>
      <c r="B488" s="29"/>
      <c r="C488" s="37"/>
      <c r="D488" s="29"/>
      <c r="E488" s="29"/>
      <c r="F488" s="37"/>
      <c r="G488" s="37"/>
      <c r="H488" s="37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  <c r="AA488" s="29"/>
    </row>
    <row r="489" ht="11.25" customHeight="1">
      <c r="A489" s="29"/>
      <c r="B489" s="29"/>
      <c r="C489" s="37"/>
      <c r="D489" s="29"/>
      <c r="E489" s="29"/>
      <c r="F489" s="37"/>
      <c r="G489" s="37"/>
      <c r="H489" s="37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  <c r="AA489" s="29"/>
    </row>
    <row r="490" ht="11.25" customHeight="1">
      <c r="A490" s="29"/>
      <c r="B490" s="29"/>
      <c r="C490" s="37"/>
      <c r="D490" s="29"/>
      <c r="E490" s="29"/>
      <c r="F490" s="37"/>
      <c r="G490" s="37"/>
      <c r="H490" s="37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  <c r="AA490" s="29"/>
    </row>
    <row r="491" ht="11.25" customHeight="1">
      <c r="A491" s="29"/>
      <c r="B491" s="29"/>
      <c r="C491" s="37"/>
      <c r="D491" s="29"/>
      <c r="E491" s="29"/>
      <c r="F491" s="37"/>
      <c r="G491" s="37"/>
      <c r="H491" s="37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  <c r="AA491" s="29"/>
    </row>
    <row r="492" ht="11.25" customHeight="1">
      <c r="A492" s="29"/>
      <c r="B492" s="29"/>
      <c r="C492" s="37"/>
      <c r="D492" s="29"/>
      <c r="E492" s="29"/>
      <c r="F492" s="37"/>
      <c r="G492" s="37"/>
      <c r="H492" s="37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  <c r="AA492" s="29"/>
    </row>
    <row r="493" ht="11.25" customHeight="1">
      <c r="A493" s="29"/>
      <c r="B493" s="29"/>
      <c r="C493" s="37"/>
      <c r="D493" s="29"/>
      <c r="E493" s="29"/>
      <c r="F493" s="37"/>
      <c r="G493" s="37"/>
      <c r="H493" s="37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  <c r="AA493" s="29"/>
    </row>
    <row r="494" ht="11.25" customHeight="1">
      <c r="A494" s="29"/>
      <c r="B494" s="29"/>
      <c r="C494" s="37"/>
      <c r="D494" s="29"/>
      <c r="E494" s="29"/>
      <c r="F494" s="37"/>
      <c r="G494" s="37"/>
      <c r="H494" s="37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  <c r="AA494" s="29"/>
    </row>
    <row r="495" ht="11.25" customHeight="1">
      <c r="A495" s="29"/>
      <c r="B495" s="29"/>
      <c r="C495" s="37"/>
      <c r="D495" s="29"/>
      <c r="E495" s="29"/>
      <c r="F495" s="37"/>
      <c r="G495" s="37"/>
      <c r="H495" s="37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  <c r="AA495" s="29"/>
    </row>
    <row r="496" ht="11.25" customHeight="1">
      <c r="A496" s="29"/>
      <c r="B496" s="29"/>
      <c r="C496" s="37"/>
      <c r="D496" s="29"/>
      <c r="E496" s="29"/>
      <c r="F496" s="37"/>
      <c r="G496" s="37"/>
      <c r="H496" s="37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  <c r="AA496" s="29"/>
    </row>
    <row r="497" ht="11.25" customHeight="1">
      <c r="A497" s="29"/>
      <c r="B497" s="29"/>
      <c r="C497" s="37"/>
      <c r="D497" s="29"/>
      <c r="E497" s="29"/>
      <c r="F497" s="37"/>
      <c r="G497" s="37"/>
      <c r="H497" s="37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  <c r="AA497" s="29"/>
    </row>
    <row r="498" ht="11.25" customHeight="1">
      <c r="A498" s="29"/>
      <c r="B498" s="29"/>
      <c r="C498" s="37"/>
      <c r="D498" s="29"/>
      <c r="E498" s="29"/>
      <c r="F498" s="37"/>
      <c r="G498" s="37"/>
      <c r="H498" s="37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  <c r="AA498" s="29"/>
    </row>
    <row r="499" ht="11.25" customHeight="1">
      <c r="A499" s="29"/>
      <c r="B499" s="29"/>
      <c r="C499" s="37"/>
      <c r="D499" s="29"/>
      <c r="E499" s="29"/>
      <c r="F499" s="37"/>
      <c r="G499" s="37"/>
      <c r="H499" s="37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  <c r="AA499" s="29"/>
    </row>
    <row r="500" ht="11.25" customHeight="1">
      <c r="A500" s="29"/>
      <c r="B500" s="29"/>
      <c r="C500" s="37"/>
      <c r="D500" s="29"/>
      <c r="E500" s="29"/>
      <c r="F500" s="37"/>
      <c r="G500" s="37"/>
      <c r="H500" s="37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  <c r="AA500" s="29"/>
    </row>
    <row r="501" ht="11.25" customHeight="1">
      <c r="A501" s="29"/>
      <c r="B501" s="29"/>
      <c r="C501" s="37"/>
      <c r="D501" s="29"/>
      <c r="E501" s="29"/>
      <c r="F501" s="37"/>
      <c r="G501" s="37"/>
      <c r="H501" s="37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  <c r="AA501" s="29"/>
    </row>
    <row r="502" ht="11.25" customHeight="1">
      <c r="A502" s="29"/>
      <c r="B502" s="29"/>
      <c r="C502" s="37"/>
      <c r="D502" s="29"/>
      <c r="E502" s="29"/>
      <c r="F502" s="37"/>
      <c r="G502" s="37"/>
      <c r="H502" s="37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  <c r="AA502" s="29"/>
    </row>
    <row r="503" ht="11.25" customHeight="1">
      <c r="A503" s="29"/>
      <c r="B503" s="29"/>
      <c r="C503" s="37"/>
      <c r="D503" s="29"/>
      <c r="E503" s="29"/>
      <c r="F503" s="37"/>
      <c r="G503" s="37"/>
      <c r="H503" s="37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  <c r="AA503" s="29"/>
    </row>
    <row r="504" ht="11.25" customHeight="1">
      <c r="A504" s="29"/>
      <c r="B504" s="29"/>
      <c r="C504" s="37"/>
      <c r="D504" s="29"/>
      <c r="E504" s="29"/>
      <c r="F504" s="37"/>
      <c r="G504" s="37"/>
      <c r="H504" s="37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  <c r="AA504" s="29"/>
    </row>
    <row r="505" ht="11.25" customHeight="1">
      <c r="A505" s="29"/>
      <c r="B505" s="29"/>
      <c r="C505" s="37"/>
      <c r="D505" s="29"/>
      <c r="E505" s="29"/>
      <c r="F505" s="37"/>
      <c r="G505" s="37"/>
      <c r="H505" s="37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  <c r="AA505" s="29"/>
    </row>
    <row r="506" ht="11.25" customHeight="1">
      <c r="A506" s="29"/>
      <c r="B506" s="29"/>
      <c r="C506" s="37"/>
      <c r="D506" s="29"/>
      <c r="E506" s="29"/>
      <c r="F506" s="37"/>
      <c r="G506" s="37"/>
      <c r="H506" s="37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  <c r="AA506" s="29"/>
    </row>
    <row r="507" ht="11.25" customHeight="1">
      <c r="A507" s="29"/>
      <c r="B507" s="29"/>
      <c r="C507" s="37"/>
      <c r="D507" s="29"/>
      <c r="E507" s="29"/>
      <c r="F507" s="37"/>
      <c r="G507" s="37"/>
      <c r="H507" s="37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  <c r="AA507" s="29"/>
    </row>
    <row r="508" ht="11.25" customHeight="1">
      <c r="A508" s="29"/>
      <c r="B508" s="29"/>
      <c r="C508" s="37"/>
      <c r="D508" s="29"/>
      <c r="E508" s="29"/>
      <c r="F508" s="37"/>
      <c r="G508" s="37"/>
      <c r="H508" s="37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  <c r="AA508" s="29"/>
    </row>
    <row r="509" ht="11.25" customHeight="1">
      <c r="A509" s="29"/>
      <c r="B509" s="29"/>
      <c r="C509" s="37"/>
      <c r="D509" s="29"/>
      <c r="E509" s="29"/>
      <c r="F509" s="37"/>
      <c r="G509" s="37"/>
      <c r="H509" s="37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  <c r="AA509" s="29"/>
    </row>
    <row r="510" ht="11.25" customHeight="1">
      <c r="A510" s="29"/>
      <c r="B510" s="29"/>
      <c r="C510" s="37"/>
      <c r="D510" s="29"/>
      <c r="E510" s="29"/>
      <c r="F510" s="37"/>
      <c r="G510" s="37"/>
      <c r="H510" s="37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  <c r="AA510" s="29"/>
    </row>
    <row r="511" ht="11.25" customHeight="1">
      <c r="A511" s="29"/>
      <c r="B511" s="29"/>
      <c r="C511" s="37"/>
      <c r="D511" s="29"/>
      <c r="E511" s="29"/>
      <c r="F511" s="37"/>
      <c r="G511" s="37"/>
      <c r="H511" s="37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  <c r="AA511" s="29"/>
    </row>
    <row r="512" ht="11.25" customHeight="1">
      <c r="A512" s="29"/>
      <c r="B512" s="29"/>
      <c r="C512" s="37"/>
      <c r="D512" s="29"/>
      <c r="E512" s="29"/>
      <c r="F512" s="37"/>
      <c r="G512" s="37"/>
      <c r="H512" s="37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  <c r="AA512" s="29"/>
    </row>
    <row r="513" ht="11.25" customHeight="1">
      <c r="A513" s="29"/>
      <c r="B513" s="29"/>
      <c r="C513" s="37"/>
      <c r="D513" s="29"/>
      <c r="E513" s="29"/>
      <c r="F513" s="37"/>
      <c r="G513" s="37"/>
      <c r="H513" s="37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  <c r="AA513" s="29"/>
    </row>
    <row r="514" ht="11.25" customHeight="1">
      <c r="A514" s="29"/>
      <c r="B514" s="29"/>
      <c r="C514" s="37"/>
      <c r="D514" s="29"/>
      <c r="E514" s="29"/>
      <c r="F514" s="37"/>
      <c r="G514" s="37"/>
      <c r="H514" s="37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  <c r="AA514" s="29"/>
    </row>
    <row r="515" ht="11.25" customHeight="1">
      <c r="A515" s="29"/>
      <c r="B515" s="29"/>
      <c r="C515" s="37"/>
      <c r="D515" s="29"/>
      <c r="E515" s="29"/>
      <c r="F515" s="37"/>
      <c r="G515" s="37"/>
      <c r="H515" s="37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  <c r="AA515" s="29"/>
    </row>
    <row r="516" ht="11.25" customHeight="1">
      <c r="A516" s="29"/>
      <c r="B516" s="29"/>
      <c r="C516" s="37"/>
      <c r="D516" s="29"/>
      <c r="E516" s="29"/>
      <c r="F516" s="37"/>
      <c r="G516" s="37"/>
      <c r="H516" s="37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  <c r="AA516" s="29"/>
    </row>
    <row r="517" ht="11.25" customHeight="1">
      <c r="A517" s="29"/>
      <c r="B517" s="29"/>
      <c r="C517" s="37"/>
      <c r="D517" s="29"/>
      <c r="E517" s="29"/>
      <c r="F517" s="37"/>
      <c r="G517" s="37"/>
      <c r="H517" s="37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  <c r="AA517" s="29"/>
    </row>
    <row r="518" ht="11.25" customHeight="1">
      <c r="A518" s="29"/>
      <c r="B518" s="29"/>
      <c r="C518" s="37"/>
      <c r="D518" s="29"/>
      <c r="E518" s="29"/>
      <c r="F518" s="37"/>
      <c r="G518" s="37"/>
      <c r="H518" s="37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  <c r="AA518" s="29"/>
    </row>
    <row r="519" ht="11.25" customHeight="1">
      <c r="A519" s="29"/>
      <c r="B519" s="29"/>
      <c r="C519" s="37"/>
      <c r="D519" s="29"/>
      <c r="E519" s="29"/>
      <c r="F519" s="37"/>
      <c r="G519" s="37"/>
      <c r="H519" s="37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  <c r="AA519" s="29"/>
    </row>
    <row r="520" ht="11.25" customHeight="1">
      <c r="A520" s="29"/>
      <c r="B520" s="29"/>
      <c r="C520" s="37"/>
      <c r="D520" s="29"/>
      <c r="E520" s="29"/>
      <c r="F520" s="37"/>
      <c r="G520" s="37"/>
      <c r="H520" s="37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  <c r="AA520" s="29"/>
    </row>
    <row r="521" ht="11.25" customHeight="1">
      <c r="A521" s="29"/>
      <c r="B521" s="29"/>
      <c r="C521" s="37"/>
      <c r="D521" s="29"/>
      <c r="E521" s="29"/>
      <c r="F521" s="37"/>
      <c r="G521" s="37"/>
      <c r="H521" s="37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  <c r="AA521" s="29"/>
    </row>
    <row r="522" ht="11.25" customHeight="1">
      <c r="A522" s="29"/>
      <c r="B522" s="29"/>
      <c r="C522" s="37"/>
      <c r="D522" s="29"/>
      <c r="E522" s="29"/>
      <c r="F522" s="37"/>
      <c r="G522" s="37"/>
      <c r="H522" s="37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  <c r="AA522" s="29"/>
    </row>
    <row r="523" ht="11.25" customHeight="1">
      <c r="A523" s="29"/>
      <c r="B523" s="29"/>
      <c r="C523" s="37"/>
      <c r="D523" s="29"/>
      <c r="E523" s="29"/>
      <c r="F523" s="37"/>
      <c r="G523" s="37"/>
      <c r="H523" s="37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  <c r="AA523" s="29"/>
    </row>
    <row r="524" ht="11.25" customHeight="1">
      <c r="A524" s="29"/>
      <c r="B524" s="29"/>
      <c r="C524" s="37"/>
      <c r="D524" s="29"/>
      <c r="E524" s="29"/>
      <c r="F524" s="37"/>
      <c r="G524" s="37"/>
      <c r="H524" s="37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  <c r="AA524" s="29"/>
    </row>
    <row r="525" ht="11.25" customHeight="1">
      <c r="A525" s="29"/>
      <c r="B525" s="29"/>
      <c r="C525" s="37"/>
      <c r="D525" s="29"/>
      <c r="E525" s="29"/>
      <c r="F525" s="37"/>
      <c r="G525" s="37"/>
      <c r="H525" s="37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  <c r="AA525" s="29"/>
    </row>
    <row r="526" ht="11.25" customHeight="1">
      <c r="A526" s="29"/>
      <c r="B526" s="29"/>
      <c r="C526" s="37"/>
      <c r="D526" s="29"/>
      <c r="E526" s="29"/>
      <c r="F526" s="37"/>
      <c r="G526" s="37"/>
      <c r="H526" s="37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  <c r="AA526" s="29"/>
    </row>
    <row r="527" ht="11.25" customHeight="1">
      <c r="A527" s="29"/>
      <c r="B527" s="29"/>
      <c r="C527" s="37"/>
      <c r="D527" s="29"/>
      <c r="E527" s="29"/>
      <c r="F527" s="37"/>
      <c r="G527" s="37"/>
      <c r="H527" s="37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  <c r="AA527" s="29"/>
    </row>
    <row r="528" ht="11.25" customHeight="1">
      <c r="A528" s="29"/>
      <c r="B528" s="29"/>
      <c r="C528" s="37"/>
      <c r="D528" s="29"/>
      <c r="E528" s="29"/>
      <c r="F528" s="37"/>
      <c r="G528" s="37"/>
      <c r="H528" s="37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  <c r="AA528" s="29"/>
    </row>
    <row r="529" ht="11.25" customHeight="1">
      <c r="A529" s="29"/>
      <c r="B529" s="29"/>
      <c r="C529" s="37"/>
      <c r="D529" s="29"/>
      <c r="E529" s="29"/>
      <c r="F529" s="37"/>
      <c r="G529" s="37"/>
      <c r="H529" s="37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  <c r="AA529" s="29"/>
    </row>
    <row r="530" ht="11.25" customHeight="1">
      <c r="A530" s="29"/>
      <c r="B530" s="29"/>
      <c r="C530" s="37"/>
      <c r="D530" s="29"/>
      <c r="E530" s="29"/>
      <c r="F530" s="37"/>
      <c r="G530" s="37"/>
      <c r="H530" s="37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  <c r="AA530" s="29"/>
    </row>
    <row r="531" ht="11.25" customHeight="1">
      <c r="A531" s="29"/>
      <c r="B531" s="29"/>
      <c r="C531" s="37"/>
      <c r="D531" s="29"/>
      <c r="E531" s="29"/>
      <c r="F531" s="37"/>
      <c r="G531" s="37"/>
      <c r="H531" s="37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  <c r="AA531" s="29"/>
    </row>
    <row r="532" ht="11.25" customHeight="1">
      <c r="A532" s="29"/>
      <c r="B532" s="29"/>
      <c r="C532" s="37"/>
      <c r="D532" s="29"/>
      <c r="E532" s="29"/>
      <c r="F532" s="37"/>
      <c r="G532" s="37"/>
      <c r="H532" s="37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  <c r="AA532" s="29"/>
    </row>
    <row r="533" ht="11.25" customHeight="1">
      <c r="A533" s="29"/>
      <c r="B533" s="29"/>
      <c r="C533" s="37"/>
      <c r="D533" s="29"/>
      <c r="E533" s="29"/>
      <c r="F533" s="37"/>
      <c r="G533" s="37"/>
      <c r="H533" s="37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  <c r="AA533" s="29"/>
    </row>
    <row r="534" ht="11.25" customHeight="1">
      <c r="A534" s="29"/>
      <c r="B534" s="29"/>
      <c r="C534" s="37"/>
      <c r="D534" s="29"/>
      <c r="E534" s="29"/>
      <c r="F534" s="37"/>
      <c r="G534" s="37"/>
      <c r="H534" s="37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  <c r="AA534" s="29"/>
    </row>
    <row r="535" ht="11.25" customHeight="1">
      <c r="A535" s="29"/>
      <c r="B535" s="29"/>
      <c r="C535" s="37"/>
      <c r="D535" s="29"/>
      <c r="E535" s="29"/>
      <c r="F535" s="37"/>
      <c r="G535" s="37"/>
      <c r="H535" s="37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  <c r="AA535" s="29"/>
    </row>
    <row r="536" ht="11.25" customHeight="1">
      <c r="A536" s="29"/>
      <c r="B536" s="29"/>
      <c r="C536" s="37"/>
      <c r="D536" s="29"/>
      <c r="E536" s="29"/>
      <c r="F536" s="37"/>
      <c r="G536" s="37"/>
      <c r="H536" s="37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  <c r="AA536" s="29"/>
    </row>
    <row r="537" ht="11.25" customHeight="1">
      <c r="A537" s="29"/>
      <c r="B537" s="29"/>
      <c r="C537" s="37"/>
      <c r="D537" s="29"/>
      <c r="E537" s="29"/>
      <c r="F537" s="37"/>
      <c r="G537" s="37"/>
      <c r="H537" s="37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  <c r="AA537" s="29"/>
    </row>
    <row r="538" ht="11.25" customHeight="1">
      <c r="A538" s="29"/>
      <c r="B538" s="29"/>
      <c r="C538" s="37"/>
      <c r="D538" s="29"/>
      <c r="E538" s="29"/>
      <c r="F538" s="37"/>
      <c r="G538" s="37"/>
      <c r="H538" s="37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  <c r="AA538" s="29"/>
    </row>
    <row r="539" ht="11.25" customHeight="1">
      <c r="A539" s="29"/>
      <c r="B539" s="29"/>
      <c r="C539" s="37"/>
      <c r="D539" s="29"/>
      <c r="E539" s="29"/>
      <c r="F539" s="37"/>
      <c r="G539" s="37"/>
      <c r="H539" s="37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  <c r="AA539" s="29"/>
    </row>
    <row r="540" ht="11.25" customHeight="1">
      <c r="A540" s="29"/>
      <c r="B540" s="29"/>
      <c r="C540" s="37"/>
      <c r="D540" s="29"/>
      <c r="E540" s="29"/>
      <c r="F540" s="37"/>
      <c r="G540" s="37"/>
      <c r="H540" s="37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  <c r="AA540" s="29"/>
    </row>
    <row r="541" ht="11.25" customHeight="1">
      <c r="A541" s="29"/>
      <c r="B541" s="29"/>
      <c r="C541" s="37"/>
      <c r="D541" s="29"/>
      <c r="E541" s="29"/>
      <c r="F541" s="37"/>
      <c r="G541" s="37"/>
      <c r="H541" s="37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  <c r="AA541" s="29"/>
    </row>
    <row r="542" ht="11.25" customHeight="1">
      <c r="A542" s="29"/>
      <c r="B542" s="29"/>
      <c r="C542" s="37"/>
      <c r="D542" s="29"/>
      <c r="E542" s="29"/>
      <c r="F542" s="37"/>
      <c r="G542" s="37"/>
      <c r="H542" s="37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  <c r="AA542" s="29"/>
    </row>
    <row r="543" ht="11.25" customHeight="1">
      <c r="A543" s="29"/>
      <c r="B543" s="29"/>
      <c r="C543" s="37"/>
      <c r="D543" s="29"/>
      <c r="E543" s="29"/>
      <c r="F543" s="37"/>
      <c r="G543" s="37"/>
      <c r="H543" s="37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  <c r="AA543" s="29"/>
    </row>
    <row r="544" ht="11.25" customHeight="1">
      <c r="A544" s="29"/>
      <c r="B544" s="29"/>
      <c r="C544" s="37"/>
      <c r="D544" s="29"/>
      <c r="E544" s="29"/>
      <c r="F544" s="37"/>
      <c r="G544" s="37"/>
      <c r="H544" s="37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  <c r="AA544" s="29"/>
    </row>
    <row r="545" ht="11.25" customHeight="1">
      <c r="A545" s="29"/>
      <c r="B545" s="29"/>
      <c r="C545" s="37"/>
      <c r="D545" s="29"/>
      <c r="E545" s="29"/>
      <c r="F545" s="37"/>
      <c r="G545" s="37"/>
      <c r="H545" s="37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  <c r="AA545" s="29"/>
    </row>
    <row r="546" ht="11.25" customHeight="1">
      <c r="A546" s="29"/>
      <c r="B546" s="29"/>
      <c r="C546" s="37"/>
      <c r="D546" s="29"/>
      <c r="E546" s="29"/>
      <c r="F546" s="37"/>
      <c r="G546" s="37"/>
      <c r="H546" s="37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  <c r="AA546" s="29"/>
    </row>
    <row r="547" ht="11.25" customHeight="1">
      <c r="A547" s="29"/>
      <c r="B547" s="29"/>
      <c r="C547" s="37"/>
      <c r="D547" s="29"/>
      <c r="E547" s="29"/>
      <c r="F547" s="37"/>
      <c r="G547" s="37"/>
      <c r="H547" s="37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  <c r="AA547" s="29"/>
    </row>
    <row r="548" ht="11.25" customHeight="1">
      <c r="A548" s="29"/>
      <c r="B548" s="29"/>
      <c r="C548" s="37"/>
      <c r="D548" s="29"/>
      <c r="E548" s="29"/>
      <c r="F548" s="37"/>
      <c r="G548" s="37"/>
      <c r="H548" s="37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  <c r="AA548" s="29"/>
    </row>
    <row r="549" ht="11.25" customHeight="1">
      <c r="A549" s="29"/>
      <c r="B549" s="29"/>
      <c r="C549" s="37"/>
      <c r="D549" s="29"/>
      <c r="E549" s="29"/>
      <c r="F549" s="37"/>
      <c r="G549" s="37"/>
      <c r="H549" s="37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  <c r="AA549" s="29"/>
    </row>
    <row r="550" ht="11.25" customHeight="1">
      <c r="A550" s="29"/>
      <c r="B550" s="29"/>
      <c r="C550" s="37"/>
      <c r="D550" s="29"/>
      <c r="E550" s="29"/>
      <c r="F550" s="37"/>
      <c r="G550" s="37"/>
      <c r="H550" s="37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  <c r="AA550" s="29"/>
    </row>
    <row r="551" ht="11.25" customHeight="1">
      <c r="A551" s="29"/>
      <c r="B551" s="29"/>
      <c r="C551" s="37"/>
      <c r="D551" s="29"/>
      <c r="E551" s="29"/>
      <c r="F551" s="37"/>
      <c r="G551" s="37"/>
      <c r="H551" s="37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  <c r="AA551" s="29"/>
    </row>
    <row r="552" ht="11.25" customHeight="1">
      <c r="A552" s="29"/>
      <c r="B552" s="29"/>
      <c r="C552" s="37"/>
      <c r="D552" s="29"/>
      <c r="E552" s="29"/>
      <c r="F552" s="37"/>
      <c r="G552" s="37"/>
      <c r="H552" s="37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  <c r="AA552" s="29"/>
    </row>
    <row r="553" ht="11.25" customHeight="1">
      <c r="A553" s="29"/>
      <c r="B553" s="29"/>
      <c r="C553" s="37"/>
      <c r="D553" s="29"/>
      <c r="E553" s="29"/>
      <c r="F553" s="37"/>
      <c r="G553" s="37"/>
      <c r="H553" s="37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  <c r="AA553" s="29"/>
    </row>
    <row r="554" ht="11.25" customHeight="1">
      <c r="A554" s="29"/>
      <c r="B554" s="29"/>
      <c r="C554" s="37"/>
      <c r="D554" s="29"/>
      <c r="E554" s="29"/>
      <c r="F554" s="37"/>
      <c r="G554" s="37"/>
      <c r="H554" s="37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  <c r="AA554" s="29"/>
    </row>
    <row r="555" ht="11.25" customHeight="1">
      <c r="A555" s="29"/>
      <c r="B555" s="29"/>
      <c r="C555" s="37"/>
      <c r="D555" s="29"/>
      <c r="E555" s="29"/>
      <c r="F555" s="37"/>
      <c r="G555" s="37"/>
      <c r="H555" s="37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  <c r="AA555" s="29"/>
    </row>
    <row r="556" ht="11.25" customHeight="1">
      <c r="A556" s="29"/>
      <c r="B556" s="29"/>
      <c r="C556" s="37"/>
      <c r="D556" s="29"/>
      <c r="E556" s="29"/>
      <c r="F556" s="37"/>
      <c r="G556" s="37"/>
      <c r="H556" s="37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  <c r="AA556" s="29"/>
    </row>
    <row r="557" ht="11.25" customHeight="1">
      <c r="A557" s="29"/>
      <c r="B557" s="29"/>
      <c r="C557" s="37"/>
      <c r="D557" s="29"/>
      <c r="E557" s="29"/>
      <c r="F557" s="37"/>
      <c r="G557" s="37"/>
      <c r="H557" s="37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  <c r="AA557" s="29"/>
    </row>
    <row r="558" ht="11.25" customHeight="1">
      <c r="A558" s="29"/>
      <c r="B558" s="29"/>
      <c r="C558" s="37"/>
      <c r="D558" s="29"/>
      <c r="E558" s="29"/>
      <c r="F558" s="37"/>
      <c r="G558" s="37"/>
      <c r="H558" s="37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  <c r="AA558" s="29"/>
    </row>
    <row r="559" ht="11.25" customHeight="1">
      <c r="A559" s="29"/>
      <c r="B559" s="29"/>
      <c r="C559" s="37"/>
      <c r="D559" s="29"/>
      <c r="E559" s="29"/>
      <c r="F559" s="37"/>
      <c r="G559" s="37"/>
      <c r="H559" s="37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  <c r="AA559" s="29"/>
    </row>
    <row r="560" ht="11.25" customHeight="1">
      <c r="A560" s="29"/>
      <c r="B560" s="29"/>
      <c r="C560" s="37"/>
      <c r="D560" s="29"/>
      <c r="E560" s="29"/>
      <c r="F560" s="37"/>
      <c r="G560" s="37"/>
      <c r="H560" s="37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  <c r="AA560" s="29"/>
    </row>
    <row r="561" ht="11.25" customHeight="1">
      <c r="A561" s="29"/>
      <c r="B561" s="29"/>
      <c r="C561" s="37"/>
      <c r="D561" s="29"/>
      <c r="E561" s="29"/>
      <c r="F561" s="37"/>
      <c r="G561" s="37"/>
      <c r="H561" s="37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  <c r="AA561" s="29"/>
    </row>
    <row r="562" ht="11.25" customHeight="1">
      <c r="A562" s="29"/>
      <c r="B562" s="29"/>
      <c r="C562" s="37"/>
      <c r="D562" s="29"/>
      <c r="E562" s="29"/>
      <c r="F562" s="37"/>
      <c r="G562" s="37"/>
      <c r="H562" s="37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  <c r="AA562" s="29"/>
    </row>
    <row r="563" ht="11.25" customHeight="1">
      <c r="A563" s="29"/>
      <c r="B563" s="29"/>
      <c r="C563" s="37"/>
      <c r="D563" s="29"/>
      <c r="E563" s="29"/>
      <c r="F563" s="37"/>
      <c r="G563" s="37"/>
      <c r="H563" s="37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  <c r="AA563" s="29"/>
    </row>
    <row r="564" ht="11.25" customHeight="1">
      <c r="A564" s="29"/>
      <c r="B564" s="29"/>
      <c r="C564" s="37"/>
      <c r="D564" s="29"/>
      <c r="E564" s="29"/>
      <c r="F564" s="37"/>
      <c r="G564" s="37"/>
      <c r="H564" s="37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  <c r="AA564" s="29"/>
    </row>
    <row r="565" ht="11.25" customHeight="1">
      <c r="A565" s="29"/>
      <c r="B565" s="29"/>
      <c r="C565" s="37"/>
      <c r="D565" s="29"/>
      <c r="E565" s="29"/>
      <c r="F565" s="37"/>
      <c r="G565" s="37"/>
      <c r="H565" s="37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  <c r="AA565" s="29"/>
    </row>
    <row r="566" ht="11.25" customHeight="1">
      <c r="A566" s="29"/>
      <c r="B566" s="29"/>
      <c r="C566" s="37"/>
      <c r="D566" s="29"/>
      <c r="E566" s="29"/>
      <c r="F566" s="37"/>
      <c r="G566" s="37"/>
      <c r="H566" s="37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  <c r="AA566" s="29"/>
    </row>
    <row r="567" ht="11.25" customHeight="1">
      <c r="A567" s="29"/>
      <c r="B567" s="29"/>
      <c r="C567" s="37"/>
      <c r="D567" s="29"/>
      <c r="E567" s="29"/>
      <c r="F567" s="37"/>
      <c r="G567" s="37"/>
      <c r="H567" s="37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  <c r="AA567" s="29"/>
    </row>
    <row r="568" ht="11.25" customHeight="1">
      <c r="A568" s="29"/>
      <c r="B568" s="29"/>
      <c r="C568" s="37"/>
      <c r="D568" s="29"/>
      <c r="E568" s="29"/>
      <c r="F568" s="37"/>
      <c r="G568" s="37"/>
      <c r="H568" s="37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  <c r="AA568" s="29"/>
    </row>
    <row r="569" ht="11.25" customHeight="1">
      <c r="A569" s="29"/>
      <c r="B569" s="29"/>
      <c r="C569" s="37"/>
      <c r="D569" s="29"/>
      <c r="E569" s="29"/>
      <c r="F569" s="37"/>
      <c r="G569" s="37"/>
      <c r="H569" s="37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  <c r="AA569" s="29"/>
    </row>
    <row r="570" ht="11.25" customHeight="1">
      <c r="A570" s="29"/>
      <c r="B570" s="29"/>
      <c r="C570" s="37"/>
      <c r="D570" s="29"/>
      <c r="E570" s="29"/>
      <c r="F570" s="37"/>
      <c r="G570" s="37"/>
      <c r="H570" s="37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  <c r="AA570" s="29"/>
    </row>
    <row r="571" ht="11.25" customHeight="1">
      <c r="A571" s="29"/>
      <c r="B571" s="29"/>
      <c r="C571" s="37"/>
      <c r="D571" s="29"/>
      <c r="E571" s="29"/>
      <c r="F571" s="37"/>
      <c r="G571" s="37"/>
      <c r="H571" s="37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  <c r="AA571" s="29"/>
    </row>
    <row r="572" ht="11.25" customHeight="1">
      <c r="A572" s="29"/>
      <c r="B572" s="29"/>
      <c r="C572" s="37"/>
      <c r="D572" s="29"/>
      <c r="E572" s="29"/>
      <c r="F572" s="37"/>
      <c r="G572" s="37"/>
      <c r="H572" s="37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  <c r="AA572" s="29"/>
    </row>
    <row r="573" ht="11.25" customHeight="1">
      <c r="A573" s="29"/>
      <c r="B573" s="29"/>
      <c r="C573" s="37"/>
      <c r="D573" s="29"/>
      <c r="E573" s="29"/>
      <c r="F573" s="37"/>
      <c r="G573" s="37"/>
      <c r="H573" s="37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  <c r="AA573" s="29"/>
    </row>
    <row r="574" ht="11.25" customHeight="1">
      <c r="A574" s="29"/>
      <c r="B574" s="29"/>
      <c r="C574" s="37"/>
      <c r="D574" s="29"/>
      <c r="E574" s="29"/>
      <c r="F574" s="37"/>
      <c r="G574" s="37"/>
      <c r="H574" s="37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  <c r="AA574" s="29"/>
    </row>
    <row r="575" ht="11.25" customHeight="1">
      <c r="A575" s="29"/>
      <c r="B575" s="29"/>
      <c r="C575" s="37"/>
      <c r="D575" s="29"/>
      <c r="E575" s="29"/>
      <c r="F575" s="37"/>
      <c r="G575" s="37"/>
      <c r="H575" s="37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  <c r="AA575" s="29"/>
    </row>
    <row r="576" ht="11.25" customHeight="1">
      <c r="A576" s="29"/>
      <c r="B576" s="29"/>
      <c r="C576" s="37"/>
      <c r="D576" s="29"/>
      <c r="E576" s="29"/>
      <c r="F576" s="37"/>
      <c r="G576" s="37"/>
      <c r="H576" s="37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  <c r="AA576" s="29"/>
    </row>
    <row r="577" ht="11.25" customHeight="1">
      <c r="A577" s="29"/>
      <c r="B577" s="29"/>
      <c r="C577" s="37"/>
      <c r="D577" s="29"/>
      <c r="E577" s="29"/>
      <c r="F577" s="37"/>
      <c r="G577" s="37"/>
      <c r="H577" s="37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  <c r="AA577" s="29"/>
    </row>
    <row r="578" ht="11.25" customHeight="1">
      <c r="A578" s="29"/>
      <c r="B578" s="29"/>
      <c r="C578" s="37"/>
      <c r="D578" s="29"/>
      <c r="E578" s="29"/>
      <c r="F578" s="37"/>
      <c r="G578" s="37"/>
      <c r="H578" s="37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  <c r="AA578" s="29"/>
    </row>
    <row r="579" ht="11.25" customHeight="1">
      <c r="A579" s="29"/>
      <c r="B579" s="29"/>
      <c r="C579" s="37"/>
      <c r="D579" s="29"/>
      <c r="E579" s="29"/>
      <c r="F579" s="37"/>
      <c r="G579" s="37"/>
      <c r="H579" s="37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  <c r="AA579" s="29"/>
    </row>
    <row r="580" ht="11.25" customHeight="1">
      <c r="A580" s="29"/>
      <c r="B580" s="29"/>
      <c r="C580" s="37"/>
      <c r="D580" s="29"/>
      <c r="E580" s="29"/>
      <c r="F580" s="37"/>
      <c r="G580" s="37"/>
      <c r="H580" s="37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  <c r="AA580" s="29"/>
    </row>
    <row r="581" ht="11.25" customHeight="1">
      <c r="A581" s="29"/>
      <c r="B581" s="29"/>
      <c r="C581" s="37"/>
      <c r="D581" s="29"/>
      <c r="E581" s="29"/>
      <c r="F581" s="37"/>
      <c r="G581" s="37"/>
      <c r="H581" s="37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  <c r="AA581" s="29"/>
    </row>
    <row r="582" ht="11.25" customHeight="1">
      <c r="A582" s="29"/>
      <c r="B582" s="29"/>
      <c r="C582" s="37"/>
      <c r="D582" s="29"/>
      <c r="E582" s="29"/>
      <c r="F582" s="37"/>
      <c r="G582" s="37"/>
      <c r="H582" s="37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  <c r="AA582" s="29"/>
    </row>
    <row r="583" ht="11.25" customHeight="1">
      <c r="A583" s="29"/>
      <c r="B583" s="29"/>
      <c r="C583" s="37"/>
      <c r="D583" s="29"/>
      <c r="E583" s="29"/>
      <c r="F583" s="37"/>
      <c r="G583" s="37"/>
      <c r="H583" s="37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  <c r="AA583" s="29"/>
    </row>
    <row r="584" ht="11.25" customHeight="1">
      <c r="A584" s="29"/>
      <c r="B584" s="29"/>
      <c r="C584" s="37"/>
      <c r="D584" s="29"/>
      <c r="E584" s="29"/>
      <c r="F584" s="37"/>
      <c r="G584" s="37"/>
      <c r="H584" s="37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  <c r="AA584" s="29"/>
    </row>
    <row r="585" ht="11.25" customHeight="1">
      <c r="A585" s="29"/>
      <c r="B585" s="29"/>
      <c r="C585" s="37"/>
      <c r="D585" s="29"/>
      <c r="E585" s="29"/>
      <c r="F585" s="37"/>
      <c r="G585" s="37"/>
      <c r="H585" s="37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  <c r="AA585" s="29"/>
    </row>
    <row r="586" ht="11.25" customHeight="1">
      <c r="A586" s="29"/>
      <c r="B586" s="29"/>
      <c r="C586" s="37"/>
      <c r="D586" s="29"/>
      <c r="E586" s="29"/>
      <c r="F586" s="37"/>
      <c r="G586" s="37"/>
      <c r="H586" s="37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  <c r="AA586" s="29"/>
    </row>
    <row r="587" ht="11.25" customHeight="1">
      <c r="A587" s="29"/>
      <c r="B587" s="29"/>
      <c r="C587" s="37"/>
      <c r="D587" s="29"/>
      <c r="E587" s="29"/>
      <c r="F587" s="37"/>
      <c r="G587" s="37"/>
      <c r="H587" s="37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  <c r="AA587" s="29"/>
    </row>
    <row r="588" ht="11.25" customHeight="1">
      <c r="A588" s="29"/>
      <c r="B588" s="29"/>
      <c r="C588" s="37"/>
      <c r="D588" s="29"/>
      <c r="E588" s="29"/>
      <c r="F588" s="37"/>
      <c r="G588" s="37"/>
      <c r="H588" s="37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  <c r="AA588" s="29"/>
    </row>
    <row r="589" ht="11.25" customHeight="1">
      <c r="A589" s="29"/>
      <c r="B589" s="29"/>
      <c r="C589" s="37"/>
      <c r="D589" s="29"/>
      <c r="E589" s="29"/>
      <c r="F589" s="37"/>
      <c r="G589" s="37"/>
      <c r="H589" s="37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  <c r="AA589" s="29"/>
    </row>
    <row r="590" ht="11.25" customHeight="1">
      <c r="A590" s="29"/>
      <c r="B590" s="29"/>
      <c r="C590" s="37"/>
      <c r="D590" s="29"/>
      <c r="E590" s="29"/>
      <c r="F590" s="37"/>
      <c r="G590" s="37"/>
      <c r="H590" s="37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  <c r="AA590" s="29"/>
    </row>
    <row r="591" ht="11.25" customHeight="1">
      <c r="A591" s="29"/>
      <c r="B591" s="29"/>
      <c r="C591" s="37"/>
      <c r="D591" s="29"/>
      <c r="E591" s="29"/>
      <c r="F591" s="37"/>
      <c r="G591" s="37"/>
      <c r="H591" s="37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  <c r="AA591" s="29"/>
    </row>
    <row r="592" ht="11.25" customHeight="1">
      <c r="A592" s="29"/>
      <c r="B592" s="29"/>
      <c r="C592" s="37"/>
      <c r="D592" s="29"/>
      <c r="E592" s="29"/>
      <c r="F592" s="37"/>
      <c r="G592" s="37"/>
      <c r="H592" s="37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  <c r="AA592" s="29"/>
    </row>
    <row r="593" ht="11.25" customHeight="1">
      <c r="A593" s="29"/>
      <c r="B593" s="29"/>
      <c r="C593" s="37"/>
      <c r="D593" s="29"/>
      <c r="E593" s="29"/>
      <c r="F593" s="37"/>
      <c r="G593" s="37"/>
      <c r="H593" s="37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  <c r="AA593" s="29"/>
    </row>
    <row r="594" ht="11.25" customHeight="1">
      <c r="A594" s="29"/>
      <c r="B594" s="29"/>
      <c r="C594" s="37"/>
      <c r="D594" s="29"/>
      <c r="E594" s="29"/>
      <c r="F594" s="37"/>
      <c r="G594" s="37"/>
      <c r="H594" s="37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  <c r="AA594" s="29"/>
    </row>
    <row r="595" ht="11.25" customHeight="1">
      <c r="A595" s="29"/>
      <c r="B595" s="29"/>
      <c r="C595" s="37"/>
      <c r="D595" s="29"/>
      <c r="E595" s="29"/>
      <c r="F595" s="37"/>
      <c r="G595" s="37"/>
      <c r="H595" s="37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  <c r="AA595" s="29"/>
    </row>
    <row r="596" ht="11.25" customHeight="1">
      <c r="A596" s="29"/>
      <c r="B596" s="29"/>
      <c r="C596" s="37"/>
      <c r="D596" s="29"/>
      <c r="E596" s="29"/>
      <c r="F596" s="37"/>
      <c r="G596" s="37"/>
      <c r="H596" s="37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  <c r="AA596" s="29"/>
    </row>
    <row r="597" ht="11.25" customHeight="1">
      <c r="A597" s="29"/>
      <c r="B597" s="29"/>
      <c r="C597" s="37"/>
      <c r="D597" s="29"/>
      <c r="E597" s="29"/>
      <c r="F597" s="37"/>
      <c r="G597" s="37"/>
      <c r="H597" s="37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  <c r="AA597" s="29"/>
    </row>
    <row r="598" ht="11.25" customHeight="1">
      <c r="A598" s="29"/>
      <c r="B598" s="29"/>
      <c r="C598" s="37"/>
      <c r="D598" s="29"/>
      <c r="E598" s="29"/>
      <c r="F598" s="37"/>
      <c r="G598" s="37"/>
      <c r="H598" s="37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  <c r="AA598" s="29"/>
    </row>
    <row r="599" ht="11.25" customHeight="1">
      <c r="A599" s="29"/>
      <c r="B599" s="29"/>
      <c r="C599" s="37"/>
      <c r="D599" s="29"/>
      <c r="E599" s="29"/>
      <c r="F599" s="37"/>
      <c r="G599" s="37"/>
      <c r="H599" s="37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  <c r="AA599" s="29"/>
    </row>
    <row r="600" ht="11.25" customHeight="1">
      <c r="A600" s="29"/>
      <c r="B600" s="29"/>
      <c r="C600" s="37"/>
      <c r="D600" s="29"/>
      <c r="E600" s="29"/>
      <c r="F600" s="37"/>
      <c r="G600" s="37"/>
      <c r="H600" s="37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  <c r="AA600" s="29"/>
    </row>
    <row r="601" ht="11.25" customHeight="1">
      <c r="A601" s="29"/>
      <c r="B601" s="29"/>
      <c r="C601" s="37"/>
      <c r="D601" s="29"/>
      <c r="E601" s="29"/>
      <c r="F601" s="37"/>
      <c r="G601" s="37"/>
      <c r="H601" s="37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  <c r="AA601" s="29"/>
    </row>
    <row r="602" ht="11.25" customHeight="1">
      <c r="A602" s="29"/>
      <c r="B602" s="29"/>
      <c r="C602" s="37"/>
      <c r="D602" s="29"/>
      <c r="E602" s="29"/>
      <c r="F602" s="37"/>
      <c r="G602" s="37"/>
      <c r="H602" s="37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  <c r="AA602" s="29"/>
    </row>
    <row r="603" ht="11.25" customHeight="1">
      <c r="A603" s="29"/>
      <c r="B603" s="29"/>
      <c r="C603" s="37"/>
      <c r="D603" s="29"/>
      <c r="E603" s="29"/>
      <c r="F603" s="37"/>
      <c r="G603" s="37"/>
      <c r="H603" s="37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  <c r="AA603" s="29"/>
    </row>
    <row r="604" ht="11.25" customHeight="1">
      <c r="A604" s="29"/>
      <c r="B604" s="29"/>
      <c r="C604" s="37"/>
      <c r="D604" s="29"/>
      <c r="E604" s="29"/>
      <c r="F604" s="37"/>
      <c r="G604" s="37"/>
      <c r="H604" s="37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  <c r="AA604" s="29"/>
    </row>
    <row r="605" ht="11.25" customHeight="1">
      <c r="A605" s="29"/>
      <c r="B605" s="29"/>
      <c r="C605" s="37"/>
      <c r="D605" s="29"/>
      <c r="E605" s="29"/>
      <c r="F605" s="37"/>
      <c r="G605" s="37"/>
      <c r="H605" s="37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  <c r="AA605" s="29"/>
    </row>
    <row r="606" ht="11.25" customHeight="1">
      <c r="A606" s="29"/>
      <c r="B606" s="29"/>
      <c r="C606" s="37"/>
      <c r="D606" s="29"/>
      <c r="E606" s="29"/>
      <c r="F606" s="37"/>
      <c r="G606" s="37"/>
      <c r="H606" s="37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  <c r="AA606" s="29"/>
    </row>
    <row r="607" ht="11.25" customHeight="1">
      <c r="A607" s="29"/>
      <c r="B607" s="29"/>
      <c r="C607" s="37"/>
      <c r="D607" s="29"/>
      <c r="E607" s="29"/>
      <c r="F607" s="37"/>
      <c r="G607" s="37"/>
      <c r="H607" s="37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  <c r="AA607" s="29"/>
    </row>
    <row r="608" ht="11.25" customHeight="1">
      <c r="A608" s="29"/>
      <c r="B608" s="29"/>
      <c r="C608" s="37"/>
      <c r="D608" s="29"/>
      <c r="E608" s="29"/>
      <c r="F608" s="37"/>
      <c r="G608" s="37"/>
      <c r="H608" s="37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  <c r="AA608" s="29"/>
    </row>
    <row r="609" ht="11.25" customHeight="1">
      <c r="A609" s="29"/>
      <c r="B609" s="29"/>
      <c r="C609" s="37"/>
      <c r="D609" s="29"/>
      <c r="E609" s="29"/>
      <c r="F609" s="37"/>
      <c r="G609" s="37"/>
      <c r="H609" s="37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  <c r="AA609" s="29"/>
    </row>
    <row r="610" ht="11.25" customHeight="1">
      <c r="A610" s="29"/>
      <c r="B610" s="29"/>
      <c r="C610" s="37"/>
      <c r="D610" s="29"/>
      <c r="E610" s="29"/>
      <c r="F610" s="37"/>
      <c r="G610" s="37"/>
      <c r="H610" s="37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  <c r="AA610" s="29"/>
    </row>
    <row r="611" ht="11.25" customHeight="1">
      <c r="A611" s="29"/>
      <c r="B611" s="29"/>
      <c r="C611" s="37"/>
      <c r="D611" s="29"/>
      <c r="E611" s="29"/>
      <c r="F611" s="37"/>
      <c r="G611" s="37"/>
      <c r="H611" s="37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  <c r="AA611" s="29"/>
    </row>
    <row r="612" ht="11.25" customHeight="1">
      <c r="A612" s="29"/>
      <c r="B612" s="29"/>
      <c r="C612" s="37"/>
      <c r="D612" s="29"/>
      <c r="E612" s="29"/>
      <c r="F612" s="37"/>
      <c r="G612" s="37"/>
      <c r="H612" s="37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  <c r="AA612" s="29"/>
    </row>
    <row r="613" ht="11.25" customHeight="1">
      <c r="A613" s="29"/>
      <c r="B613" s="29"/>
      <c r="C613" s="37"/>
      <c r="D613" s="29"/>
      <c r="E613" s="29"/>
      <c r="F613" s="37"/>
      <c r="G613" s="37"/>
      <c r="H613" s="37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  <c r="AA613" s="29"/>
    </row>
    <row r="614" ht="11.25" customHeight="1">
      <c r="A614" s="29"/>
      <c r="B614" s="29"/>
      <c r="C614" s="37"/>
      <c r="D614" s="29"/>
      <c r="E614" s="29"/>
      <c r="F614" s="37"/>
      <c r="G614" s="37"/>
      <c r="H614" s="37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  <c r="AA614" s="29"/>
    </row>
    <row r="615" ht="11.25" customHeight="1">
      <c r="A615" s="29"/>
      <c r="B615" s="29"/>
      <c r="C615" s="37"/>
      <c r="D615" s="29"/>
      <c r="E615" s="29"/>
      <c r="F615" s="37"/>
      <c r="G615" s="37"/>
      <c r="H615" s="37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  <c r="AA615" s="29"/>
    </row>
    <row r="616" ht="11.25" customHeight="1">
      <c r="A616" s="29"/>
      <c r="B616" s="29"/>
      <c r="C616" s="37"/>
      <c r="D616" s="29"/>
      <c r="E616" s="29"/>
      <c r="F616" s="37"/>
      <c r="G616" s="37"/>
      <c r="H616" s="37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  <c r="AA616" s="29"/>
    </row>
    <row r="617" ht="11.25" customHeight="1">
      <c r="A617" s="29"/>
      <c r="B617" s="29"/>
      <c r="C617" s="37"/>
      <c r="D617" s="29"/>
      <c r="E617" s="29"/>
      <c r="F617" s="37"/>
      <c r="G617" s="37"/>
      <c r="H617" s="37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  <c r="AA617" s="29"/>
    </row>
    <row r="618" ht="11.25" customHeight="1">
      <c r="A618" s="29"/>
      <c r="B618" s="29"/>
      <c r="C618" s="37"/>
      <c r="D618" s="29"/>
      <c r="E618" s="29"/>
      <c r="F618" s="37"/>
      <c r="G618" s="37"/>
      <c r="H618" s="37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  <c r="AA618" s="29"/>
    </row>
    <row r="619" ht="11.25" customHeight="1">
      <c r="A619" s="29"/>
      <c r="B619" s="29"/>
      <c r="C619" s="37"/>
      <c r="D619" s="29"/>
      <c r="E619" s="29"/>
      <c r="F619" s="37"/>
      <c r="G619" s="37"/>
      <c r="H619" s="37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  <c r="AA619" s="29"/>
    </row>
    <row r="620" ht="11.25" customHeight="1">
      <c r="A620" s="29"/>
      <c r="B620" s="29"/>
      <c r="C620" s="37"/>
      <c r="D620" s="29"/>
      <c r="E620" s="29"/>
      <c r="F620" s="37"/>
      <c r="G620" s="37"/>
      <c r="H620" s="37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  <c r="AA620" s="29"/>
    </row>
    <row r="621" ht="11.25" customHeight="1">
      <c r="A621" s="29"/>
      <c r="B621" s="29"/>
      <c r="C621" s="37"/>
      <c r="D621" s="29"/>
      <c r="E621" s="29"/>
      <c r="F621" s="37"/>
      <c r="G621" s="37"/>
      <c r="H621" s="37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  <c r="AA621" s="29"/>
    </row>
    <row r="622" ht="11.25" customHeight="1">
      <c r="A622" s="29"/>
      <c r="B622" s="29"/>
      <c r="C622" s="37"/>
      <c r="D622" s="29"/>
      <c r="E622" s="29"/>
      <c r="F622" s="37"/>
      <c r="G622" s="37"/>
      <c r="H622" s="37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  <c r="AA622" s="29"/>
    </row>
    <row r="623" ht="11.25" customHeight="1">
      <c r="A623" s="29"/>
      <c r="B623" s="29"/>
      <c r="C623" s="37"/>
      <c r="D623" s="29"/>
      <c r="E623" s="29"/>
      <c r="F623" s="37"/>
      <c r="G623" s="37"/>
      <c r="H623" s="37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  <c r="AA623" s="29"/>
    </row>
    <row r="624" ht="11.25" customHeight="1">
      <c r="A624" s="29"/>
      <c r="B624" s="29"/>
      <c r="C624" s="37"/>
      <c r="D624" s="29"/>
      <c r="E624" s="29"/>
      <c r="F624" s="37"/>
      <c r="G624" s="37"/>
      <c r="H624" s="37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  <c r="AA624" s="29"/>
    </row>
    <row r="625" ht="11.25" customHeight="1">
      <c r="A625" s="29"/>
      <c r="B625" s="29"/>
      <c r="C625" s="37"/>
      <c r="D625" s="29"/>
      <c r="E625" s="29"/>
      <c r="F625" s="37"/>
      <c r="G625" s="37"/>
      <c r="H625" s="37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  <c r="AA625" s="29"/>
    </row>
    <row r="626" ht="11.25" customHeight="1">
      <c r="A626" s="29"/>
      <c r="B626" s="29"/>
      <c r="C626" s="37"/>
      <c r="D626" s="29"/>
      <c r="E626" s="29"/>
      <c r="F626" s="37"/>
      <c r="G626" s="37"/>
      <c r="H626" s="37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  <c r="AA626" s="29"/>
    </row>
    <row r="627" ht="11.25" customHeight="1">
      <c r="A627" s="29"/>
      <c r="B627" s="29"/>
      <c r="C627" s="37"/>
      <c r="D627" s="29"/>
      <c r="E627" s="29"/>
      <c r="F627" s="37"/>
      <c r="G627" s="37"/>
      <c r="H627" s="37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  <c r="AA627" s="29"/>
    </row>
    <row r="628" ht="11.25" customHeight="1">
      <c r="A628" s="29"/>
      <c r="B628" s="29"/>
      <c r="C628" s="37"/>
      <c r="D628" s="29"/>
      <c r="E628" s="29"/>
      <c r="F628" s="37"/>
      <c r="G628" s="37"/>
      <c r="H628" s="37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  <c r="AA628" s="29"/>
    </row>
    <row r="629" ht="11.25" customHeight="1">
      <c r="A629" s="29"/>
      <c r="B629" s="29"/>
      <c r="C629" s="37"/>
      <c r="D629" s="29"/>
      <c r="E629" s="29"/>
      <c r="F629" s="37"/>
      <c r="G629" s="37"/>
      <c r="H629" s="37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  <c r="AA629" s="29"/>
    </row>
    <row r="630" ht="11.25" customHeight="1">
      <c r="A630" s="29"/>
      <c r="B630" s="29"/>
      <c r="C630" s="37"/>
      <c r="D630" s="29"/>
      <c r="E630" s="29"/>
      <c r="F630" s="37"/>
      <c r="G630" s="37"/>
      <c r="H630" s="37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  <c r="AA630" s="29"/>
    </row>
    <row r="631" ht="11.25" customHeight="1">
      <c r="A631" s="29"/>
      <c r="B631" s="29"/>
      <c r="C631" s="37"/>
      <c r="D631" s="29"/>
      <c r="E631" s="29"/>
      <c r="F631" s="37"/>
      <c r="G631" s="37"/>
      <c r="H631" s="37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  <c r="AA631" s="29"/>
    </row>
    <row r="632" ht="11.25" customHeight="1">
      <c r="A632" s="29"/>
      <c r="B632" s="29"/>
      <c r="C632" s="37"/>
      <c r="D632" s="29"/>
      <c r="E632" s="29"/>
      <c r="F632" s="37"/>
      <c r="G632" s="37"/>
      <c r="H632" s="37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  <c r="AA632" s="29"/>
    </row>
    <row r="633" ht="11.25" customHeight="1">
      <c r="A633" s="29"/>
      <c r="B633" s="29"/>
      <c r="C633" s="37"/>
      <c r="D633" s="29"/>
      <c r="E633" s="29"/>
      <c r="F633" s="37"/>
      <c r="G633" s="37"/>
      <c r="H633" s="37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  <c r="AA633" s="29"/>
    </row>
    <row r="634" ht="11.25" customHeight="1">
      <c r="A634" s="29"/>
      <c r="B634" s="29"/>
      <c r="C634" s="37"/>
      <c r="D634" s="29"/>
      <c r="E634" s="29"/>
      <c r="F634" s="37"/>
      <c r="G634" s="37"/>
      <c r="H634" s="37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  <c r="AA634" s="29"/>
    </row>
    <row r="635" ht="11.25" customHeight="1">
      <c r="A635" s="29"/>
      <c r="B635" s="29"/>
      <c r="C635" s="37"/>
      <c r="D635" s="29"/>
      <c r="E635" s="29"/>
      <c r="F635" s="37"/>
      <c r="G635" s="37"/>
      <c r="H635" s="37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  <c r="AA635" s="29"/>
    </row>
    <row r="636" ht="11.25" customHeight="1">
      <c r="A636" s="29"/>
      <c r="B636" s="29"/>
      <c r="C636" s="37"/>
      <c r="D636" s="29"/>
      <c r="E636" s="29"/>
      <c r="F636" s="37"/>
      <c r="G636" s="37"/>
      <c r="H636" s="37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  <c r="AA636" s="29"/>
    </row>
    <row r="637" ht="11.25" customHeight="1">
      <c r="A637" s="29"/>
      <c r="B637" s="29"/>
      <c r="C637" s="37"/>
      <c r="D637" s="29"/>
      <c r="E637" s="29"/>
      <c r="F637" s="37"/>
      <c r="G637" s="37"/>
      <c r="H637" s="37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  <c r="AA637" s="29"/>
    </row>
    <row r="638" ht="11.25" customHeight="1">
      <c r="A638" s="29"/>
      <c r="B638" s="29"/>
      <c r="C638" s="37"/>
      <c r="D638" s="29"/>
      <c r="E638" s="29"/>
      <c r="F638" s="37"/>
      <c r="G638" s="37"/>
      <c r="H638" s="37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  <c r="AA638" s="29"/>
    </row>
    <row r="639" ht="11.25" customHeight="1">
      <c r="A639" s="29"/>
      <c r="B639" s="29"/>
      <c r="C639" s="37"/>
      <c r="D639" s="29"/>
      <c r="E639" s="29"/>
      <c r="F639" s="37"/>
      <c r="G639" s="37"/>
      <c r="H639" s="37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  <c r="AA639" s="29"/>
    </row>
    <row r="640" ht="11.25" customHeight="1">
      <c r="A640" s="29"/>
      <c r="B640" s="29"/>
      <c r="C640" s="37"/>
      <c r="D640" s="29"/>
      <c r="E640" s="29"/>
      <c r="F640" s="37"/>
      <c r="G640" s="37"/>
      <c r="H640" s="37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  <c r="AA640" s="29"/>
    </row>
    <row r="641" ht="11.25" customHeight="1">
      <c r="A641" s="29"/>
      <c r="B641" s="29"/>
      <c r="C641" s="37"/>
      <c r="D641" s="29"/>
      <c r="E641" s="29"/>
      <c r="F641" s="37"/>
      <c r="G641" s="37"/>
      <c r="H641" s="37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  <c r="AA641" s="29"/>
    </row>
    <row r="642" ht="11.25" customHeight="1">
      <c r="A642" s="29"/>
      <c r="B642" s="29"/>
      <c r="C642" s="37"/>
      <c r="D642" s="29"/>
      <c r="E642" s="29"/>
      <c r="F642" s="37"/>
      <c r="G642" s="37"/>
      <c r="H642" s="37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  <c r="AA642" s="29"/>
    </row>
    <row r="643" ht="11.25" customHeight="1">
      <c r="A643" s="29"/>
      <c r="B643" s="29"/>
      <c r="C643" s="37"/>
      <c r="D643" s="29"/>
      <c r="E643" s="29"/>
      <c r="F643" s="37"/>
      <c r="G643" s="37"/>
      <c r="H643" s="37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  <c r="AA643" s="29"/>
    </row>
    <row r="644" ht="11.25" customHeight="1">
      <c r="A644" s="29"/>
      <c r="B644" s="29"/>
      <c r="C644" s="37"/>
      <c r="D644" s="29"/>
      <c r="E644" s="29"/>
      <c r="F644" s="37"/>
      <c r="G644" s="37"/>
      <c r="H644" s="37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  <c r="AA644" s="29"/>
    </row>
    <row r="645" ht="11.25" customHeight="1">
      <c r="A645" s="29"/>
      <c r="B645" s="29"/>
      <c r="C645" s="37"/>
      <c r="D645" s="29"/>
      <c r="E645" s="29"/>
      <c r="F645" s="37"/>
      <c r="G645" s="37"/>
      <c r="H645" s="37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  <c r="AA645" s="29"/>
    </row>
    <row r="646" ht="11.25" customHeight="1">
      <c r="A646" s="29"/>
      <c r="B646" s="29"/>
      <c r="C646" s="37"/>
      <c r="D646" s="29"/>
      <c r="E646" s="29"/>
      <c r="F646" s="37"/>
      <c r="G646" s="37"/>
      <c r="H646" s="37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  <c r="AA646" s="29"/>
    </row>
    <row r="647" ht="11.25" customHeight="1">
      <c r="A647" s="29"/>
      <c r="B647" s="29"/>
      <c r="C647" s="37"/>
      <c r="D647" s="29"/>
      <c r="E647" s="29"/>
      <c r="F647" s="37"/>
      <c r="G647" s="37"/>
      <c r="H647" s="37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  <c r="AA647" s="29"/>
    </row>
    <row r="648" ht="11.25" customHeight="1">
      <c r="A648" s="29"/>
      <c r="B648" s="29"/>
      <c r="C648" s="37"/>
      <c r="D648" s="29"/>
      <c r="E648" s="29"/>
      <c r="F648" s="37"/>
      <c r="G648" s="37"/>
      <c r="H648" s="37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  <c r="AA648" s="29"/>
    </row>
    <row r="649" ht="11.25" customHeight="1">
      <c r="A649" s="29"/>
      <c r="B649" s="29"/>
      <c r="C649" s="37"/>
      <c r="D649" s="29"/>
      <c r="E649" s="29"/>
      <c r="F649" s="37"/>
      <c r="G649" s="37"/>
      <c r="H649" s="37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  <c r="AA649" s="29"/>
    </row>
    <row r="650" ht="11.25" customHeight="1">
      <c r="A650" s="29"/>
      <c r="B650" s="29"/>
      <c r="C650" s="37"/>
      <c r="D650" s="29"/>
      <c r="E650" s="29"/>
      <c r="F650" s="37"/>
      <c r="G650" s="37"/>
      <c r="H650" s="37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  <c r="AA650" s="29"/>
    </row>
    <row r="651" ht="11.25" customHeight="1">
      <c r="A651" s="29"/>
      <c r="B651" s="29"/>
      <c r="C651" s="37"/>
      <c r="D651" s="29"/>
      <c r="E651" s="29"/>
      <c r="F651" s="37"/>
      <c r="G651" s="37"/>
      <c r="H651" s="37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  <c r="AA651" s="29"/>
    </row>
    <row r="652" ht="11.25" customHeight="1">
      <c r="A652" s="29"/>
      <c r="B652" s="29"/>
      <c r="C652" s="37"/>
      <c r="D652" s="29"/>
      <c r="E652" s="29"/>
      <c r="F652" s="37"/>
      <c r="G652" s="37"/>
      <c r="H652" s="37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  <c r="AA652" s="29"/>
    </row>
    <row r="653" ht="11.25" customHeight="1">
      <c r="A653" s="29"/>
      <c r="B653" s="29"/>
      <c r="C653" s="37"/>
      <c r="D653" s="29"/>
      <c r="E653" s="29"/>
      <c r="F653" s="37"/>
      <c r="G653" s="37"/>
      <c r="H653" s="37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  <c r="AA653" s="29"/>
    </row>
    <row r="654" ht="11.25" customHeight="1">
      <c r="A654" s="29"/>
      <c r="B654" s="29"/>
      <c r="C654" s="37"/>
      <c r="D654" s="29"/>
      <c r="E654" s="29"/>
      <c r="F654" s="37"/>
      <c r="G654" s="37"/>
      <c r="H654" s="37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  <c r="AA654" s="29"/>
    </row>
    <row r="655" ht="11.25" customHeight="1">
      <c r="A655" s="29"/>
      <c r="B655" s="29"/>
      <c r="C655" s="37"/>
      <c r="D655" s="29"/>
      <c r="E655" s="29"/>
      <c r="F655" s="37"/>
      <c r="G655" s="37"/>
      <c r="H655" s="37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  <c r="AA655" s="29"/>
    </row>
    <row r="656" ht="11.25" customHeight="1">
      <c r="A656" s="29"/>
      <c r="B656" s="29"/>
      <c r="C656" s="37"/>
      <c r="D656" s="29"/>
      <c r="E656" s="29"/>
      <c r="F656" s="37"/>
      <c r="G656" s="37"/>
      <c r="H656" s="37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  <c r="AA656" s="29"/>
    </row>
    <row r="657" ht="11.25" customHeight="1">
      <c r="A657" s="29"/>
      <c r="B657" s="29"/>
      <c r="C657" s="37"/>
      <c r="D657" s="29"/>
      <c r="E657" s="29"/>
      <c r="F657" s="37"/>
      <c r="G657" s="37"/>
      <c r="H657" s="37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  <c r="AA657" s="29"/>
    </row>
    <row r="658" ht="11.25" customHeight="1">
      <c r="A658" s="29"/>
      <c r="B658" s="29"/>
      <c r="C658" s="37"/>
      <c r="D658" s="29"/>
      <c r="E658" s="29"/>
      <c r="F658" s="37"/>
      <c r="G658" s="37"/>
      <c r="H658" s="37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  <c r="AA658" s="29"/>
    </row>
    <row r="659" ht="11.25" customHeight="1">
      <c r="A659" s="29"/>
      <c r="B659" s="29"/>
      <c r="C659" s="37"/>
      <c r="D659" s="29"/>
      <c r="E659" s="29"/>
      <c r="F659" s="37"/>
      <c r="G659" s="37"/>
      <c r="H659" s="37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  <c r="AA659" s="29"/>
    </row>
    <row r="660" ht="11.25" customHeight="1">
      <c r="A660" s="29"/>
      <c r="B660" s="29"/>
      <c r="C660" s="37"/>
      <c r="D660" s="29"/>
      <c r="E660" s="29"/>
      <c r="F660" s="37"/>
      <c r="G660" s="37"/>
      <c r="H660" s="37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  <c r="AA660" s="29"/>
    </row>
    <row r="661" ht="11.25" customHeight="1">
      <c r="A661" s="29"/>
      <c r="B661" s="29"/>
      <c r="C661" s="37"/>
      <c r="D661" s="29"/>
      <c r="E661" s="29"/>
      <c r="F661" s="37"/>
      <c r="G661" s="37"/>
      <c r="H661" s="37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  <c r="AA661" s="29"/>
    </row>
    <row r="662" ht="11.25" customHeight="1">
      <c r="A662" s="29"/>
      <c r="B662" s="29"/>
      <c r="C662" s="37"/>
      <c r="D662" s="29"/>
      <c r="E662" s="29"/>
      <c r="F662" s="37"/>
      <c r="G662" s="37"/>
      <c r="H662" s="37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  <c r="AA662" s="29"/>
    </row>
    <row r="663" ht="11.25" customHeight="1">
      <c r="A663" s="29"/>
      <c r="B663" s="29"/>
      <c r="C663" s="37"/>
      <c r="D663" s="29"/>
      <c r="E663" s="29"/>
      <c r="F663" s="37"/>
      <c r="G663" s="37"/>
      <c r="H663" s="37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  <c r="AA663" s="29"/>
    </row>
    <row r="664" ht="11.25" customHeight="1">
      <c r="A664" s="29"/>
      <c r="B664" s="29"/>
      <c r="C664" s="37"/>
      <c r="D664" s="29"/>
      <c r="E664" s="29"/>
      <c r="F664" s="37"/>
      <c r="G664" s="37"/>
      <c r="H664" s="37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  <c r="AA664" s="29"/>
    </row>
    <row r="665" ht="11.25" customHeight="1">
      <c r="A665" s="29"/>
      <c r="B665" s="29"/>
      <c r="C665" s="37"/>
      <c r="D665" s="29"/>
      <c r="E665" s="29"/>
      <c r="F665" s="37"/>
      <c r="G665" s="37"/>
      <c r="H665" s="37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  <c r="AA665" s="29"/>
    </row>
    <row r="666" ht="11.25" customHeight="1">
      <c r="A666" s="29"/>
      <c r="B666" s="29"/>
      <c r="C666" s="37"/>
      <c r="D666" s="29"/>
      <c r="E666" s="29"/>
      <c r="F666" s="37"/>
      <c r="G666" s="37"/>
      <c r="H666" s="37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  <c r="AA666" s="29"/>
    </row>
    <row r="667" ht="11.25" customHeight="1">
      <c r="A667" s="29"/>
      <c r="B667" s="29"/>
      <c r="C667" s="37"/>
      <c r="D667" s="29"/>
      <c r="E667" s="29"/>
      <c r="F667" s="37"/>
      <c r="G667" s="37"/>
      <c r="H667" s="37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  <c r="AA667" s="29"/>
    </row>
    <row r="668" ht="11.25" customHeight="1">
      <c r="A668" s="29"/>
      <c r="B668" s="29"/>
      <c r="C668" s="37"/>
      <c r="D668" s="29"/>
      <c r="E668" s="29"/>
      <c r="F668" s="37"/>
      <c r="G668" s="37"/>
      <c r="H668" s="37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  <c r="AA668" s="29"/>
    </row>
    <row r="669" ht="11.25" customHeight="1">
      <c r="A669" s="29"/>
      <c r="B669" s="29"/>
      <c r="C669" s="37"/>
      <c r="D669" s="29"/>
      <c r="E669" s="29"/>
      <c r="F669" s="37"/>
      <c r="G669" s="37"/>
      <c r="H669" s="37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  <c r="AA669" s="29"/>
    </row>
    <row r="670" ht="11.25" customHeight="1">
      <c r="A670" s="29"/>
      <c r="B670" s="29"/>
      <c r="C670" s="37"/>
      <c r="D670" s="29"/>
      <c r="E670" s="29"/>
      <c r="F670" s="37"/>
      <c r="G670" s="37"/>
      <c r="H670" s="37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  <c r="AA670" s="29"/>
    </row>
    <row r="671" ht="11.25" customHeight="1">
      <c r="A671" s="29"/>
      <c r="B671" s="29"/>
      <c r="C671" s="37"/>
      <c r="D671" s="29"/>
      <c r="E671" s="29"/>
      <c r="F671" s="37"/>
      <c r="G671" s="37"/>
      <c r="H671" s="37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  <c r="AA671" s="29"/>
    </row>
    <row r="672" ht="11.25" customHeight="1">
      <c r="A672" s="29"/>
      <c r="B672" s="29"/>
      <c r="C672" s="37"/>
      <c r="D672" s="29"/>
      <c r="E672" s="29"/>
      <c r="F672" s="37"/>
      <c r="G672" s="37"/>
      <c r="H672" s="37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  <c r="AA672" s="29"/>
    </row>
    <row r="673" ht="11.25" customHeight="1">
      <c r="A673" s="29"/>
      <c r="B673" s="29"/>
      <c r="C673" s="37"/>
      <c r="D673" s="29"/>
      <c r="E673" s="29"/>
      <c r="F673" s="37"/>
      <c r="G673" s="37"/>
      <c r="H673" s="37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  <c r="AA673" s="29"/>
    </row>
    <row r="674" ht="11.25" customHeight="1">
      <c r="A674" s="29"/>
      <c r="B674" s="29"/>
      <c r="C674" s="37"/>
      <c r="D674" s="29"/>
      <c r="E674" s="29"/>
      <c r="F674" s="37"/>
      <c r="G674" s="37"/>
      <c r="H674" s="37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  <c r="AA674" s="29"/>
    </row>
    <row r="675" ht="11.25" customHeight="1">
      <c r="A675" s="29"/>
      <c r="B675" s="29"/>
      <c r="C675" s="37"/>
      <c r="D675" s="29"/>
      <c r="E675" s="29"/>
      <c r="F675" s="37"/>
      <c r="G675" s="37"/>
      <c r="H675" s="37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  <c r="AA675" s="29"/>
    </row>
    <row r="676" ht="11.25" customHeight="1">
      <c r="A676" s="29"/>
      <c r="B676" s="29"/>
      <c r="C676" s="37"/>
      <c r="D676" s="29"/>
      <c r="E676" s="29"/>
      <c r="F676" s="37"/>
      <c r="G676" s="37"/>
      <c r="H676" s="37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  <c r="AA676" s="29"/>
    </row>
    <row r="677" ht="11.25" customHeight="1">
      <c r="A677" s="29"/>
      <c r="B677" s="29"/>
      <c r="C677" s="37"/>
      <c r="D677" s="29"/>
      <c r="E677" s="29"/>
      <c r="F677" s="37"/>
      <c r="G677" s="37"/>
      <c r="H677" s="37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  <c r="AA677" s="29"/>
    </row>
    <row r="678" ht="11.25" customHeight="1">
      <c r="A678" s="29"/>
      <c r="B678" s="29"/>
      <c r="C678" s="37"/>
      <c r="D678" s="29"/>
      <c r="E678" s="29"/>
      <c r="F678" s="37"/>
      <c r="G678" s="37"/>
      <c r="H678" s="37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  <c r="AA678" s="29"/>
    </row>
    <row r="679" ht="11.25" customHeight="1">
      <c r="A679" s="29"/>
      <c r="B679" s="29"/>
      <c r="C679" s="37"/>
      <c r="D679" s="29"/>
      <c r="E679" s="29"/>
      <c r="F679" s="37"/>
      <c r="G679" s="37"/>
      <c r="H679" s="37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  <c r="AA679" s="29"/>
    </row>
    <row r="680" ht="11.25" customHeight="1">
      <c r="A680" s="29"/>
      <c r="B680" s="29"/>
      <c r="C680" s="37"/>
      <c r="D680" s="29"/>
      <c r="E680" s="29"/>
      <c r="F680" s="37"/>
      <c r="G680" s="37"/>
      <c r="H680" s="37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  <c r="AA680" s="29"/>
    </row>
    <row r="681" ht="11.25" customHeight="1">
      <c r="A681" s="29"/>
      <c r="B681" s="29"/>
      <c r="C681" s="37"/>
      <c r="D681" s="29"/>
      <c r="E681" s="29"/>
      <c r="F681" s="37"/>
      <c r="G681" s="37"/>
      <c r="H681" s="37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  <c r="AA681" s="29"/>
    </row>
    <row r="682" ht="11.25" customHeight="1">
      <c r="A682" s="29"/>
      <c r="B682" s="29"/>
      <c r="C682" s="37"/>
      <c r="D682" s="29"/>
      <c r="E682" s="29"/>
      <c r="F682" s="37"/>
      <c r="G682" s="37"/>
      <c r="H682" s="37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  <c r="AA682" s="29"/>
    </row>
    <row r="683" ht="11.25" customHeight="1">
      <c r="A683" s="29"/>
      <c r="B683" s="29"/>
      <c r="C683" s="37"/>
      <c r="D683" s="29"/>
      <c r="E683" s="29"/>
      <c r="F683" s="37"/>
      <c r="G683" s="37"/>
      <c r="H683" s="37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  <c r="AA683" s="29"/>
    </row>
    <row r="684" ht="11.25" customHeight="1">
      <c r="A684" s="29"/>
      <c r="B684" s="29"/>
      <c r="C684" s="37"/>
      <c r="D684" s="29"/>
      <c r="E684" s="29"/>
      <c r="F684" s="37"/>
      <c r="G684" s="37"/>
      <c r="H684" s="37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  <c r="AA684" s="29"/>
    </row>
    <row r="685" ht="11.25" customHeight="1">
      <c r="A685" s="29"/>
      <c r="B685" s="29"/>
      <c r="C685" s="37"/>
      <c r="D685" s="29"/>
      <c r="E685" s="29"/>
      <c r="F685" s="37"/>
      <c r="G685" s="37"/>
      <c r="H685" s="37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  <c r="AA685" s="29"/>
    </row>
    <row r="686" ht="11.25" customHeight="1">
      <c r="A686" s="29"/>
      <c r="B686" s="29"/>
      <c r="C686" s="37"/>
      <c r="D686" s="29"/>
      <c r="E686" s="29"/>
      <c r="F686" s="37"/>
      <c r="G686" s="37"/>
      <c r="H686" s="37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  <c r="AA686" s="29"/>
    </row>
    <row r="687" ht="11.25" customHeight="1">
      <c r="A687" s="29"/>
      <c r="B687" s="29"/>
      <c r="C687" s="37"/>
      <c r="D687" s="29"/>
      <c r="E687" s="29"/>
      <c r="F687" s="37"/>
      <c r="G687" s="37"/>
      <c r="H687" s="37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  <c r="AA687" s="29"/>
    </row>
    <row r="688" ht="11.25" customHeight="1">
      <c r="A688" s="29"/>
      <c r="B688" s="29"/>
      <c r="C688" s="37"/>
      <c r="D688" s="29"/>
      <c r="E688" s="29"/>
      <c r="F688" s="37"/>
      <c r="G688" s="37"/>
      <c r="H688" s="37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  <c r="AA688" s="29"/>
    </row>
    <row r="689" ht="11.25" customHeight="1">
      <c r="A689" s="29"/>
      <c r="B689" s="29"/>
      <c r="C689" s="37"/>
      <c r="D689" s="29"/>
      <c r="E689" s="29"/>
      <c r="F689" s="37"/>
      <c r="G689" s="37"/>
      <c r="H689" s="37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  <c r="AA689" s="29"/>
    </row>
    <row r="690" ht="11.25" customHeight="1">
      <c r="A690" s="29"/>
      <c r="B690" s="29"/>
      <c r="C690" s="37"/>
      <c r="D690" s="29"/>
      <c r="E690" s="29"/>
      <c r="F690" s="37"/>
      <c r="G690" s="37"/>
      <c r="H690" s="37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  <c r="AA690" s="29"/>
    </row>
    <row r="691" ht="11.25" customHeight="1">
      <c r="A691" s="29"/>
      <c r="B691" s="29"/>
      <c r="C691" s="37"/>
      <c r="D691" s="29"/>
      <c r="E691" s="29"/>
      <c r="F691" s="37"/>
      <c r="G691" s="37"/>
      <c r="H691" s="37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  <c r="AA691" s="29"/>
    </row>
    <row r="692" ht="11.25" customHeight="1">
      <c r="A692" s="29"/>
      <c r="B692" s="29"/>
      <c r="C692" s="37"/>
      <c r="D692" s="29"/>
      <c r="E692" s="29"/>
      <c r="F692" s="37"/>
      <c r="G692" s="37"/>
      <c r="H692" s="37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  <c r="AA692" s="29"/>
    </row>
    <row r="693" ht="11.25" customHeight="1">
      <c r="A693" s="29"/>
      <c r="B693" s="29"/>
      <c r="C693" s="37"/>
      <c r="D693" s="29"/>
      <c r="E693" s="29"/>
      <c r="F693" s="37"/>
      <c r="G693" s="37"/>
      <c r="H693" s="37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  <c r="AA693" s="29"/>
    </row>
    <row r="694" ht="11.25" customHeight="1">
      <c r="A694" s="29"/>
      <c r="B694" s="29"/>
      <c r="C694" s="37"/>
      <c r="D694" s="29"/>
      <c r="E694" s="29"/>
      <c r="F694" s="37"/>
      <c r="G694" s="37"/>
      <c r="H694" s="37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  <c r="AA694" s="29"/>
    </row>
    <row r="695" ht="11.25" customHeight="1">
      <c r="A695" s="29"/>
      <c r="B695" s="29"/>
      <c r="C695" s="37"/>
      <c r="D695" s="29"/>
      <c r="E695" s="29"/>
      <c r="F695" s="37"/>
      <c r="G695" s="37"/>
      <c r="H695" s="37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  <c r="AA695" s="29"/>
    </row>
    <row r="696" ht="11.25" customHeight="1">
      <c r="A696" s="29"/>
      <c r="B696" s="29"/>
      <c r="C696" s="37"/>
      <c r="D696" s="29"/>
      <c r="E696" s="29"/>
      <c r="F696" s="37"/>
      <c r="G696" s="37"/>
      <c r="H696" s="37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  <c r="AA696" s="29"/>
    </row>
    <row r="697" ht="11.25" customHeight="1">
      <c r="A697" s="29"/>
      <c r="B697" s="29"/>
      <c r="C697" s="37"/>
      <c r="D697" s="29"/>
      <c r="E697" s="29"/>
      <c r="F697" s="37"/>
      <c r="G697" s="37"/>
      <c r="H697" s="37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  <c r="AA697" s="29"/>
    </row>
    <row r="698" ht="11.25" customHeight="1">
      <c r="A698" s="29"/>
      <c r="B698" s="29"/>
      <c r="C698" s="37"/>
      <c r="D698" s="29"/>
      <c r="E698" s="29"/>
      <c r="F698" s="37"/>
      <c r="G698" s="37"/>
      <c r="H698" s="37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  <c r="AA698" s="29"/>
    </row>
    <row r="699" ht="11.25" customHeight="1">
      <c r="A699" s="29"/>
      <c r="B699" s="29"/>
      <c r="C699" s="37"/>
      <c r="D699" s="29"/>
      <c r="E699" s="29"/>
      <c r="F699" s="37"/>
      <c r="G699" s="37"/>
      <c r="H699" s="37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  <c r="AA699" s="29"/>
    </row>
    <row r="700" ht="11.25" customHeight="1">
      <c r="A700" s="29"/>
      <c r="B700" s="29"/>
      <c r="C700" s="37"/>
      <c r="D700" s="29"/>
      <c r="E700" s="29"/>
      <c r="F700" s="37"/>
      <c r="G700" s="37"/>
      <c r="H700" s="37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  <c r="AA700" s="29"/>
    </row>
    <row r="701" ht="11.25" customHeight="1">
      <c r="A701" s="29"/>
      <c r="B701" s="29"/>
      <c r="C701" s="37"/>
      <c r="D701" s="29"/>
      <c r="E701" s="29"/>
      <c r="F701" s="37"/>
      <c r="G701" s="37"/>
      <c r="H701" s="37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  <c r="AA701" s="29"/>
    </row>
    <row r="702" ht="11.25" customHeight="1">
      <c r="A702" s="29"/>
      <c r="B702" s="29"/>
      <c r="C702" s="37"/>
      <c r="D702" s="29"/>
      <c r="E702" s="29"/>
      <c r="F702" s="37"/>
      <c r="G702" s="37"/>
      <c r="H702" s="37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  <c r="AA702" s="29"/>
    </row>
    <row r="703" ht="11.25" customHeight="1">
      <c r="A703" s="29"/>
      <c r="B703" s="29"/>
      <c r="C703" s="37"/>
      <c r="D703" s="29"/>
      <c r="E703" s="29"/>
      <c r="F703" s="37"/>
      <c r="G703" s="37"/>
      <c r="H703" s="37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  <c r="AA703" s="29"/>
    </row>
    <row r="704" ht="11.25" customHeight="1">
      <c r="A704" s="29"/>
      <c r="B704" s="29"/>
      <c r="C704" s="37"/>
      <c r="D704" s="29"/>
      <c r="E704" s="29"/>
      <c r="F704" s="37"/>
      <c r="G704" s="37"/>
      <c r="H704" s="37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  <c r="AA704" s="29"/>
    </row>
    <row r="705" ht="11.25" customHeight="1">
      <c r="A705" s="29"/>
      <c r="B705" s="29"/>
      <c r="C705" s="37"/>
      <c r="D705" s="29"/>
      <c r="E705" s="29"/>
      <c r="F705" s="37"/>
      <c r="G705" s="37"/>
      <c r="H705" s="37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  <c r="AA705" s="29"/>
    </row>
    <row r="706" ht="11.25" customHeight="1">
      <c r="A706" s="29"/>
      <c r="B706" s="29"/>
      <c r="C706" s="37"/>
      <c r="D706" s="29"/>
      <c r="E706" s="29"/>
      <c r="F706" s="37"/>
      <c r="G706" s="37"/>
      <c r="H706" s="37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  <c r="AA706" s="29"/>
    </row>
    <row r="707" ht="11.25" customHeight="1">
      <c r="A707" s="29"/>
      <c r="B707" s="29"/>
      <c r="C707" s="37"/>
      <c r="D707" s="29"/>
      <c r="E707" s="29"/>
      <c r="F707" s="37"/>
      <c r="G707" s="37"/>
      <c r="H707" s="37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  <c r="AA707" s="29"/>
    </row>
    <row r="708" ht="11.25" customHeight="1">
      <c r="A708" s="29"/>
      <c r="B708" s="29"/>
      <c r="C708" s="37"/>
      <c r="D708" s="29"/>
      <c r="E708" s="29"/>
      <c r="F708" s="37"/>
      <c r="G708" s="37"/>
      <c r="H708" s="37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  <c r="AA708" s="29"/>
    </row>
    <row r="709" ht="11.25" customHeight="1">
      <c r="A709" s="29"/>
      <c r="B709" s="29"/>
      <c r="C709" s="37"/>
      <c r="D709" s="29"/>
      <c r="E709" s="29"/>
      <c r="F709" s="37"/>
      <c r="G709" s="37"/>
      <c r="H709" s="37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  <c r="AA709" s="29"/>
    </row>
    <row r="710" ht="11.25" customHeight="1">
      <c r="A710" s="29"/>
      <c r="B710" s="29"/>
      <c r="C710" s="37"/>
      <c r="D710" s="29"/>
      <c r="E710" s="29"/>
      <c r="F710" s="37"/>
      <c r="G710" s="37"/>
      <c r="H710" s="37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  <c r="AA710" s="29"/>
    </row>
    <row r="711" ht="11.25" customHeight="1">
      <c r="A711" s="29"/>
      <c r="B711" s="29"/>
      <c r="C711" s="37"/>
      <c r="D711" s="29"/>
      <c r="E711" s="29"/>
      <c r="F711" s="37"/>
      <c r="G711" s="37"/>
      <c r="H711" s="37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  <c r="AA711" s="29"/>
    </row>
    <row r="712" ht="11.25" customHeight="1">
      <c r="A712" s="29"/>
      <c r="B712" s="29"/>
      <c r="C712" s="37"/>
      <c r="D712" s="29"/>
      <c r="E712" s="29"/>
      <c r="F712" s="37"/>
      <c r="G712" s="37"/>
      <c r="H712" s="37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  <c r="AA712" s="29"/>
    </row>
    <row r="713" ht="11.25" customHeight="1">
      <c r="A713" s="29"/>
      <c r="B713" s="29"/>
      <c r="C713" s="37"/>
      <c r="D713" s="29"/>
      <c r="E713" s="29"/>
      <c r="F713" s="37"/>
      <c r="G713" s="37"/>
      <c r="H713" s="37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  <c r="AA713" s="29"/>
    </row>
    <row r="714" ht="11.25" customHeight="1">
      <c r="A714" s="29"/>
      <c r="B714" s="29"/>
      <c r="C714" s="37"/>
      <c r="D714" s="29"/>
      <c r="E714" s="29"/>
      <c r="F714" s="37"/>
      <c r="G714" s="37"/>
      <c r="H714" s="37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  <c r="AA714" s="29"/>
    </row>
    <row r="715" ht="11.25" customHeight="1">
      <c r="A715" s="29"/>
      <c r="B715" s="29"/>
      <c r="C715" s="37"/>
      <c r="D715" s="29"/>
      <c r="E715" s="29"/>
      <c r="F715" s="37"/>
      <c r="G715" s="37"/>
      <c r="H715" s="37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  <c r="AA715" s="29"/>
    </row>
    <row r="716" ht="11.25" customHeight="1">
      <c r="A716" s="29"/>
      <c r="B716" s="29"/>
      <c r="C716" s="37"/>
      <c r="D716" s="29"/>
      <c r="E716" s="29"/>
      <c r="F716" s="37"/>
      <c r="G716" s="37"/>
      <c r="H716" s="37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  <c r="AA716" s="29"/>
    </row>
    <row r="717" ht="11.25" customHeight="1">
      <c r="A717" s="29"/>
      <c r="B717" s="29"/>
      <c r="C717" s="37"/>
      <c r="D717" s="29"/>
      <c r="E717" s="29"/>
      <c r="F717" s="37"/>
      <c r="G717" s="37"/>
      <c r="H717" s="37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  <c r="AA717" s="29"/>
    </row>
    <row r="718" ht="11.25" customHeight="1">
      <c r="A718" s="29"/>
      <c r="B718" s="29"/>
      <c r="C718" s="37"/>
      <c r="D718" s="29"/>
      <c r="E718" s="29"/>
      <c r="F718" s="37"/>
      <c r="G718" s="37"/>
      <c r="H718" s="37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  <c r="AA718" s="29"/>
    </row>
    <row r="719" ht="11.25" customHeight="1">
      <c r="A719" s="29"/>
      <c r="B719" s="29"/>
      <c r="C719" s="37"/>
      <c r="D719" s="29"/>
      <c r="E719" s="29"/>
      <c r="F719" s="37"/>
      <c r="G719" s="37"/>
      <c r="H719" s="37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  <c r="AA719" s="29"/>
    </row>
    <row r="720" ht="11.25" customHeight="1">
      <c r="A720" s="29"/>
      <c r="B720" s="29"/>
      <c r="C720" s="37"/>
      <c r="D720" s="29"/>
      <c r="E720" s="29"/>
      <c r="F720" s="37"/>
      <c r="G720" s="37"/>
      <c r="H720" s="37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  <c r="AA720" s="29"/>
    </row>
    <row r="721" ht="11.25" customHeight="1">
      <c r="A721" s="29"/>
      <c r="B721" s="29"/>
      <c r="C721" s="37"/>
      <c r="D721" s="29"/>
      <c r="E721" s="29"/>
      <c r="F721" s="37"/>
      <c r="G721" s="37"/>
      <c r="H721" s="37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  <c r="AA721" s="29"/>
    </row>
    <row r="722" ht="11.25" customHeight="1">
      <c r="A722" s="29"/>
      <c r="B722" s="29"/>
      <c r="C722" s="37"/>
      <c r="D722" s="29"/>
      <c r="E722" s="29"/>
      <c r="F722" s="37"/>
      <c r="G722" s="37"/>
      <c r="H722" s="37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  <c r="AA722" s="29"/>
    </row>
    <row r="723" ht="11.25" customHeight="1">
      <c r="A723" s="29"/>
      <c r="B723" s="29"/>
      <c r="C723" s="37"/>
      <c r="D723" s="29"/>
      <c r="E723" s="29"/>
      <c r="F723" s="37"/>
      <c r="G723" s="37"/>
      <c r="H723" s="37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  <c r="AA723" s="29"/>
    </row>
    <row r="724" ht="11.25" customHeight="1">
      <c r="A724" s="29"/>
      <c r="B724" s="29"/>
      <c r="C724" s="37"/>
      <c r="D724" s="29"/>
      <c r="E724" s="29"/>
      <c r="F724" s="37"/>
      <c r="G724" s="37"/>
      <c r="H724" s="37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  <c r="AA724" s="29"/>
    </row>
    <row r="725" ht="11.25" customHeight="1">
      <c r="A725" s="29"/>
      <c r="B725" s="29"/>
      <c r="C725" s="37"/>
      <c r="D725" s="29"/>
      <c r="E725" s="29"/>
      <c r="F725" s="37"/>
      <c r="G725" s="37"/>
      <c r="H725" s="37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  <c r="AA725" s="29"/>
    </row>
    <row r="726" ht="11.25" customHeight="1">
      <c r="A726" s="29"/>
      <c r="B726" s="29"/>
      <c r="C726" s="37"/>
      <c r="D726" s="29"/>
      <c r="E726" s="29"/>
      <c r="F726" s="37"/>
      <c r="G726" s="37"/>
      <c r="H726" s="37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  <c r="AA726" s="29"/>
    </row>
    <row r="727" ht="11.25" customHeight="1">
      <c r="A727" s="29"/>
      <c r="B727" s="29"/>
      <c r="C727" s="37"/>
      <c r="D727" s="29"/>
      <c r="E727" s="29"/>
      <c r="F727" s="37"/>
      <c r="G727" s="37"/>
      <c r="H727" s="37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  <c r="AA727" s="29"/>
    </row>
    <row r="728" ht="11.25" customHeight="1">
      <c r="A728" s="29"/>
      <c r="B728" s="29"/>
      <c r="C728" s="37"/>
      <c r="D728" s="29"/>
      <c r="E728" s="29"/>
      <c r="F728" s="37"/>
      <c r="G728" s="37"/>
      <c r="H728" s="37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  <c r="AA728" s="29"/>
    </row>
    <row r="729" ht="11.25" customHeight="1">
      <c r="A729" s="29"/>
      <c r="B729" s="29"/>
      <c r="C729" s="37"/>
      <c r="D729" s="29"/>
      <c r="E729" s="29"/>
      <c r="F729" s="37"/>
      <c r="G729" s="37"/>
      <c r="H729" s="37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  <c r="AA729" s="29"/>
    </row>
    <row r="730" ht="11.25" customHeight="1">
      <c r="A730" s="29"/>
      <c r="B730" s="29"/>
      <c r="C730" s="37"/>
      <c r="D730" s="29"/>
      <c r="E730" s="29"/>
      <c r="F730" s="37"/>
      <c r="G730" s="37"/>
      <c r="H730" s="37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  <c r="AA730" s="29"/>
    </row>
    <row r="731" ht="11.25" customHeight="1">
      <c r="A731" s="29"/>
      <c r="B731" s="29"/>
      <c r="C731" s="37"/>
      <c r="D731" s="29"/>
      <c r="E731" s="29"/>
      <c r="F731" s="37"/>
      <c r="G731" s="37"/>
      <c r="H731" s="37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  <c r="AA731" s="29"/>
    </row>
    <row r="732" ht="11.25" customHeight="1">
      <c r="A732" s="29"/>
      <c r="B732" s="29"/>
      <c r="C732" s="37"/>
      <c r="D732" s="29"/>
      <c r="E732" s="29"/>
      <c r="F732" s="37"/>
      <c r="G732" s="37"/>
      <c r="H732" s="37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  <c r="AA732" s="29"/>
    </row>
    <row r="733" ht="11.25" customHeight="1">
      <c r="A733" s="29"/>
      <c r="B733" s="29"/>
      <c r="C733" s="37"/>
      <c r="D733" s="29"/>
      <c r="E733" s="29"/>
      <c r="F733" s="37"/>
      <c r="G733" s="37"/>
      <c r="H733" s="37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  <c r="AA733" s="29"/>
    </row>
    <row r="734" ht="11.25" customHeight="1">
      <c r="A734" s="29"/>
      <c r="B734" s="29"/>
      <c r="C734" s="37"/>
      <c r="D734" s="29"/>
      <c r="E734" s="29"/>
      <c r="F734" s="37"/>
      <c r="G734" s="37"/>
      <c r="H734" s="37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  <c r="AA734" s="29"/>
    </row>
    <row r="735" ht="11.25" customHeight="1">
      <c r="A735" s="29"/>
      <c r="B735" s="29"/>
      <c r="C735" s="37"/>
      <c r="D735" s="29"/>
      <c r="E735" s="29"/>
      <c r="F735" s="37"/>
      <c r="G735" s="37"/>
      <c r="H735" s="37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  <c r="AA735" s="29"/>
    </row>
    <row r="736" ht="11.25" customHeight="1">
      <c r="A736" s="29"/>
      <c r="B736" s="29"/>
      <c r="C736" s="37"/>
      <c r="D736" s="29"/>
      <c r="E736" s="29"/>
      <c r="F736" s="37"/>
      <c r="G736" s="37"/>
      <c r="H736" s="37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  <c r="AA736" s="29"/>
    </row>
    <row r="737" ht="11.25" customHeight="1">
      <c r="A737" s="29"/>
      <c r="B737" s="29"/>
      <c r="C737" s="37"/>
      <c r="D737" s="29"/>
      <c r="E737" s="29"/>
      <c r="F737" s="37"/>
      <c r="G737" s="37"/>
      <c r="H737" s="37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  <c r="AA737" s="29"/>
    </row>
    <row r="738" ht="11.25" customHeight="1">
      <c r="A738" s="29"/>
      <c r="B738" s="29"/>
      <c r="C738" s="37"/>
      <c r="D738" s="29"/>
      <c r="E738" s="29"/>
      <c r="F738" s="37"/>
      <c r="G738" s="37"/>
      <c r="H738" s="37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  <c r="AA738" s="29"/>
    </row>
    <row r="739" ht="11.25" customHeight="1">
      <c r="A739" s="29"/>
      <c r="B739" s="29"/>
      <c r="C739" s="37"/>
      <c r="D739" s="29"/>
      <c r="E739" s="29"/>
      <c r="F739" s="37"/>
      <c r="G739" s="37"/>
      <c r="H739" s="37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  <c r="AA739" s="29"/>
    </row>
    <row r="740" ht="11.25" customHeight="1">
      <c r="A740" s="29"/>
      <c r="B740" s="29"/>
      <c r="C740" s="37"/>
      <c r="D740" s="29"/>
      <c r="E740" s="29"/>
      <c r="F740" s="37"/>
      <c r="G740" s="37"/>
      <c r="H740" s="37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  <c r="AA740" s="29"/>
    </row>
    <row r="741" ht="11.25" customHeight="1">
      <c r="A741" s="29"/>
      <c r="B741" s="29"/>
      <c r="C741" s="37"/>
      <c r="D741" s="29"/>
      <c r="E741" s="29"/>
      <c r="F741" s="37"/>
      <c r="G741" s="37"/>
      <c r="H741" s="37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  <c r="AA741" s="29"/>
    </row>
    <row r="742" ht="11.25" customHeight="1">
      <c r="A742" s="29"/>
      <c r="B742" s="29"/>
      <c r="C742" s="37"/>
      <c r="D742" s="29"/>
      <c r="E742" s="29"/>
      <c r="F742" s="37"/>
      <c r="G742" s="37"/>
      <c r="H742" s="37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  <c r="AA742" s="29"/>
    </row>
    <row r="743" ht="11.25" customHeight="1">
      <c r="A743" s="29"/>
      <c r="B743" s="29"/>
      <c r="C743" s="37"/>
      <c r="D743" s="29"/>
      <c r="E743" s="29"/>
      <c r="F743" s="37"/>
      <c r="G743" s="37"/>
      <c r="H743" s="37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  <c r="AA743" s="29"/>
    </row>
    <row r="744" ht="11.25" customHeight="1">
      <c r="A744" s="29"/>
      <c r="B744" s="29"/>
      <c r="C744" s="37"/>
      <c r="D744" s="29"/>
      <c r="E744" s="29"/>
      <c r="F744" s="37"/>
      <c r="G744" s="37"/>
      <c r="H744" s="37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  <c r="AA744" s="29"/>
    </row>
    <row r="745" ht="11.25" customHeight="1">
      <c r="A745" s="29"/>
      <c r="B745" s="29"/>
      <c r="C745" s="37"/>
      <c r="D745" s="29"/>
      <c r="E745" s="29"/>
      <c r="F745" s="37"/>
      <c r="G745" s="37"/>
      <c r="H745" s="37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  <c r="AA745" s="29"/>
    </row>
    <row r="746" ht="11.25" customHeight="1">
      <c r="A746" s="29"/>
      <c r="B746" s="29"/>
      <c r="C746" s="37"/>
      <c r="D746" s="29"/>
      <c r="E746" s="29"/>
      <c r="F746" s="37"/>
      <c r="G746" s="37"/>
      <c r="H746" s="37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  <c r="AA746" s="29"/>
    </row>
    <row r="747" ht="11.25" customHeight="1">
      <c r="A747" s="29"/>
      <c r="B747" s="29"/>
      <c r="C747" s="37"/>
      <c r="D747" s="29"/>
      <c r="E747" s="29"/>
      <c r="F747" s="37"/>
      <c r="G747" s="37"/>
      <c r="H747" s="37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  <c r="AA747" s="29"/>
    </row>
    <row r="748" ht="11.25" customHeight="1">
      <c r="A748" s="29"/>
      <c r="B748" s="29"/>
      <c r="C748" s="37"/>
      <c r="D748" s="29"/>
      <c r="E748" s="29"/>
      <c r="F748" s="37"/>
      <c r="G748" s="37"/>
      <c r="H748" s="37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  <c r="AA748" s="29"/>
    </row>
    <row r="749" ht="11.25" customHeight="1">
      <c r="A749" s="29"/>
      <c r="B749" s="29"/>
      <c r="C749" s="37"/>
      <c r="D749" s="29"/>
      <c r="E749" s="29"/>
      <c r="F749" s="37"/>
      <c r="G749" s="37"/>
      <c r="H749" s="37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  <c r="AA749" s="29"/>
    </row>
    <row r="750" ht="11.25" customHeight="1">
      <c r="A750" s="29"/>
      <c r="B750" s="29"/>
      <c r="C750" s="37"/>
      <c r="D750" s="29"/>
      <c r="E750" s="29"/>
      <c r="F750" s="37"/>
      <c r="G750" s="37"/>
      <c r="H750" s="37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  <c r="AA750" s="29"/>
    </row>
    <row r="751" ht="11.25" customHeight="1">
      <c r="A751" s="29"/>
      <c r="B751" s="29"/>
      <c r="C751" s="37"/>
      <c r="D751" s="29"/>
      <c r="E751" s="29"/>
      <c r="F751" s="37"/>
      <c r="G751" s="37"/>
      <c r="H751" s="37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  <c r="AA751" s="29"/>
    </row>
    <row r="752" ht="11.25" customHeight="1">
      <c r="A752" s="29"/>
      <c r="B752" s="29"/>
      <c r="C752" s="37"/>
      <c r="D752" s="29"/>
      <c r="E752" s="29"/>
      <c r="F752" s="37"/>
      <c r="G752" s="37"/>
      <c r="H752" s="37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  <c r="AA752" s="29"/>
    </row>
    <row r="753" ht="11.25" customHeight="1">
      <c r="A753" s="29"/>
      <c r="B753" s="29"/>
      <c r="C753" s="37"/>
      <c r="D753" s="29"/>
      <c r="E753" s="29"/>
      <c r="F753" s="37"/>
      <c r="G753" s="37"/>
      <c r="H753" s="37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  <c r="AA753" s="29"/>
    </row>
    <row r="754" ht="11.25" customHeight="1">
      <c r="A754" s="29"/>
      <c r="B754" s="29"/>
      <c r="C754" s="37"/>
      <c r="D754" s="29"/>
      <c r="E754" s="29"/>
      <c r="F754" s="37"/>
      <c r="G754" s="37"/>
      <c r="H754" s="37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  <c r="AA754" s="29"/>
    </row>
    <row r="755" ht="11.25" customHeight="1">
      <c r="A755" s="29"/>
      <c r="B755" s="29"/>
      <c r="C755" s="37"/>
      <c r="D755" s="29"/>
      <c r="E755" s="29"/>
      <c r="F755" s="37"/>
      <c r="G755" s="37"/>
      <c r="H755" s="37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  <c r="AA755" s="29"/>
    </row>
    <row r="756" ht="11.25" customHeight="1">
      <c r="A756" s="29"/>
      <c r="B756" s="29"/>
      <c r="C756" s="37"/>
      <c r="D756" s="29"/>
      <c r="E756" s="29"/>
      <c r="F756" s="37"/>
      <c r="G756" s="37"/>
      <c r="H756" s="37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  <c r="AA756" s="29"/>
    </row>
    <row r="757" ht="11.25" customHeight="1">
      <c r="A757" s="29"/>
      <c r="B757" s="29"/>
      <c r="C757" s="37"/>
      <c r="D757" s="29"/>
      <c r="E757" s="29"/>
      <c r="F757" s="37"/>
      <c r="G757" s="37"/>
      <c r="H757" s="37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  <c r="AA757" s="29"/>
    </row>
    <row r="758" ht="11.25" customHeight="1">
      <c r="A758" s="29"/>
      <c r="B758" s="29"/>
      <c r="C758" s="37"/>
      <c r="D758" s="29"/>
      <c r="E758" s="29"/>
      <c r="F758" s="37"/>
      <c r="G758" s="37"/>
      <c r="H758" s="37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  <c r="AA758" s="29"/>
    </row>
    <row r="759" ht="11.25" customHeight="1">
      <c r="A759" s="29"/>
      <c r="B759" s="29"/>
      <c r="C759" s="37"/>
      <c r="D759" s="29"/>
      <c r="E759" s="29"/>
      <c r="F759" s="37"/>
      <c r="G759" s="37"/>
      <c r="H759" s="37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  <c r="AA759" s="29"/>
    </row>
    <row r="760" ht="11.25" customHeight="1">
      <c r="A760" s="29"/>
      <c r="B760" s="29"/>
      <c r="C760" s="37"/>
      <c r="D760" s="29"/>
      <c r="E760" s="29"/>
      <c r="F760" s="37"/>
      <c r="G760" s="37"/>
      <c r="H760" s="37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  <c r="AA760" s="29"/>
    </row>
    <row r="761" ht="11.25" customHeight="1">
      <c r="A761" s="29"/>
      <c r="B761" s="29"/>
      <c r="C761" s="37"/>
      <c r="D761" s="29"/>
      <c r="E761" s="29"/>
      <c r="F761" s="37"/>
      <c r="G761" s="37"/>
      <c r="H761" s="37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  <c r="AA761" s="29"/>
    </row>
    <row r="762" ht="11.25" customHeight="1">
      <c r="A762" s="29"/>
      <c r="B762" s="29"/>
      <c r="C762" s="37"/>
      <c r="D762" s="29"/>
      <c r="E762" s="29"/>
      <c r="F762" s="37"/>
      <c r="G762" s="37"/>
      <c r="H762" s="37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  <c r="AA762" s="29"/>
    </row>
    <row r="763" ht="11.25" customHeight="1">
      <c r="A763" s="29"/>
      <c r="B763" s="29"/>
      <c r="C763" s="37"/>
      <c r="D763" s="29"/>
      <c r="E763" s="29"/>
      <c r="F763" s="37"/>
      <c r="G763" s="37"/>
      <c r="H763" s="37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  <c r="AA763" s="29"/>
    </row>
    <row r="764" ht="11.25" customHeight="1">
      <c r="A764" s="29"/>
      <c r="B764" s="29"/>
      <c r="C764" s="37"/>
      <c r="D764" s="29"/>
      <c r="E764" s="29"/>
      <c r="F764" s="37"/>
      <c r="G764" s="37"/>
      <c r="H764" s="37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  <c r="AA764" s="29"/>
    </row>
    <row r="765" ht="11.25" customHeight="1">
      <c r="A765" s="29"/>
      <c r="B765" s="29"/>
      <c r="C765" s="37"/>
      <c r="D765" s="29"/>
      <c r="E765" s="29"/>
      <c r="F765" s="37"/>
      <c r="G765" s="37"/>
      <c r="H765" s="37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  <c r="AA765" s="29"/>
    </row>
    <row r="766" ht="11.25" customHeight="1">
      <c r="A766" s="29"/>
      <c r="B766" s="29"/>
      <c r="C766" s="37"/>
      <c r="D766" s="29"/>
      <c r="E766" s="29"/>
      <c r="F766" s="37"/>
      <c r="G766" s="37"/>
      <c r="H766" s="37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  <c r="AA766" s="29"/>
    </row>
    <row r="767" ht="11.25" customHeight="1">
      <c r="A767" s="29"/>
      <c r="B767" s="29"/>
      <c r="C767" s="37"/>
      <c r="D767" s="29"/>
      <c r="E767" s="29"/>
      <c r="F767" s="37"/>
      <c r="G767" s="37"/>
      <c r="H767" s="37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  <c r="AA767" s="29"/>
    </row>
    <row r="768" ht="11.25" customHeight="1">
      <c r="A768" s="29"/>
      <c r="B768" s="29"/>
      <c r="C768" s="37"/>
      <c r="D768" s="29"/>
      <c r="E768" s="29"/>
      <c r="F768" s="37"/>
      <c r="G768" s="37"/>
      <c r="H768" s="37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  <c r="AA768" s="29"/>
    </row>
    <row r="769" ht="11.25" customHeight="1">
      <c r="A769" s="29"/>
      <c r="B769" s="29"/>
      <c r="C769" s="37"/>
      <c r="D769" s="29"/>
      <c r="E769" s="29"/>
      <c r="F769" s="37"/>
      <c r="G769" s="37"/>
      <c r="H769" s="37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  <c r="AA769" s="29"/>
    </row>
    <row r="770" ht="11.25" customHeight="1">
      <c r="A770" s="29"/>
      <c r="B770" s="29"/>
      <c r="C770" s="37"/>
      <c r="D770" s="29"/>
      <c r="E770" s="29"/>
      <c r="F770" s="37"/>
      <c r="G770" s="37"/>
      <c r="H770" s="37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  <c r="AA770" s="29"/>
    </row>
    <row r="771" ht="11.25" customHeight="1">
      <c r="A771" s="29"/>
      <c r="B771" s="29"/>
      <c r="C771" s="37"/>
      <c r="D771" s="29"/>
      <c r="E771" s="29"/>
      <c r="F771" s="37"/>
      <c r="G771" s="37"/>
      <c r="H771" s="37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  <c r="AA771" s="29"/>
    </row>
    <row r="772" ht="11.25" customHeight="1">
      <c r="A772" s="29"/>
      <c r="B772" s="29"/>
      <c r="C772" s="37"/>
      <c r="D772" s="29"/>
      <c r="E772" s="29"/>
      <c r="F772" s="37"/>
      <c r="G772" s="37"/>
      <c r="H772" s="37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  <c r="AA772" s="29"/>
    </row>
    <row r="773" ht="11.25" customHeight="1">
      <c r="A773" s="29"/>
      <c r="B773" s="29"/>
      <c r="C773" s="37"/>
      <c r="D773" s="29"/>
      <c r="E773" s="29"/>
      <c r="F773" s="37"/>
      <c r="G773" s="37"/>
      <c r="H773" s="37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  <c r="AA773" s="29"/>
    </row>
    <row r="774" ht="11.25" customHeight="1">
      <c r="A774" s="29"/>
      <c r="B774" s="29"/>
      <c r="C774" s="37"/>
      <c r="D774" s="29"/>
      <c r="E774" s="29"/>
      <c r="F774" s="37"/>
      <c r="G774" s="37"/>
      <c r="H774" s="37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  <c r="AA774" s="29"/>
    </row>
    <row r="775" ht="11.25" customHeight="1">
      <c r="A775" s="29"/>
      <c r="B775" s="29"/>
      <c r="C775" s="37"/>
      <c r="D775" s="29"/>
      <c r="E775" s="29"/>
      <c r="F775" s="37"/>
      <c r="G775" s="37"/>
      <c r="H775" s="37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  <c r="AA775" s="29"/>
    </row>
    <row r="776" ht="11.25" customHeight="1">
      <c r="A776" s="29"/>
      <c r="B776" s="29"/>
      <c r="C776" s="37"/>
      <c r="D776" s="29"/>
      <c r="E776" s="29"/>
      <c r="F776" s="37"/>
      <c r="G776" s="37"/>
      <c r="H776" s="37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  <c r="AA776" s="29"/>
    </row>
    <row r="777" ht="11.25" customHeight="1">
      <c r="A777" s="29"/>
      <c r="B777" s="29"/>
      <c r="C777" s="37"/>
      <c r="D777" s="29"/>
      <c r="E777" s="29"/>
      <c r="F777" s="37"/>
      <c r="G777" s="37"/>
      <c r="H777" s="37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  <c r="AA777" s="29"/>
    </row>
    <row r="778" ht="11.25" customHeight="1">
      <c r="A778" s="29"/>
      <c r="B778" s="29"/>
      <c r="C778" s="37"/>
      <c r="D778" s="29"/>
      <c r="E778" s="29"/>
      <c r="F778" s="37"/>
      <c r="G778" s="37"/>
      <c r="H778" s="37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  <c r="AA778" s="29"/>
    </row>
    <row r="779" ht="11.25" customHeight="1">
      <c r="A779" s="29"/>
      <c r="B779" s="29"/>
      <c r="C779" s="37"/>
      <c r="D779" s="29"/>
      <c r="E779" s="29"/>
      <c r="F779" s="37"/>
      <c r="G779" s="37"/>
      <c r="H779" s="37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  <c r="AA779" s="29"/>
    </row>
    <row r="780" ht="11.25" customHeight="1">
      <c r="A780" s="29"/>
      <c r="B780" s="29"/>
      <c r="C780" s="37"/>
      <c r="D780" s="29"/>
      <c r="E780" s="29"/>
      <c r="F780" s="37"/>
      <c r="G780" s="37"/>
      <c r="H780" s="37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  <c r="AA780" s="29"/>
    </row>
    <row r="781" ht="11.25" customHeight="1">
      <c r="A781" s="29"/>
      <c r="B781" s="29"/>
      <c r="C781" s="37"/>
      <c r="D781" s="29"/>
      <c r="E781" s="29"/>
      <c r="F781" s="37"/>
      <c r="G781" s="37"/>
      <c r="H781" s="37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  <c r="AA781" s="29"/>
    </row>
    <row r="782" ht="11.25" customHeight="1">
      <c r="A782" s="29"/>
      <c r="B782" s="29"/>
      <c r="C782" s="37"/>
      <c r="D782" s="29"/>
      <c r="E782" s="29"/>
      <c r="F782" s="37"/>
      <c r="G782" s="37"/>
      <c r="H782" s="37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  <c r="AA782" s="29"/>
    </row>
    <row r="783" ht="11.25" customHeight="1">
      <c r="A783" s="29"/>
      <c r="B783" s="29"/>
      <c r="C783" s="37"/>
      <c r="D783" s="29"/>
      <c r="E783" s="29"/>
      <c r="F783" s="37"/>
      <c r="G783" s="37"/>
      <c r="H783" s="37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  <c r="AA783" s="29"/>
    </row>
    <row r="784" ht="11.25" customHeight="1">
      <c r="A784" s="29"/>
      <c r="B784" s="29"/>
      <c r="C784" s="37"/>
      <c r="D784" s="29"/>
      <c r="E784" s="29"/>
      <c r="F784" s="37"/>
      <c r="G784" s="37"/>
      <c r="H784" s="37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  <c r="AA784" s="29"/>
    </row>
    <row r="785" ht="11.25" customHeight="1">
      <c r="A785" s="29"/>
      <c r="B785" s="29"/>
      <c r="C785" s="37"/>
      <c r="D785" s="29"/>
      <c r="E785" s="29"/>
      <c r="F785" s="37"/>
      <c r="G785" s="37"/>
      <c r="H785" s="37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  <c r="AA785" s="29"/>
    </row>
    <row r="786" ht="11.25" customHeight="1">
      <c r="A786" s="29"/>
      <c r="B786" s="29"/>
      <c r="C786" s="37"/>
      <c r="D786" s="29"/>
      <c r="E786" s="29"/>
      <c r="F786" s="37"/>
      <c r="G786" s="37"/>
      <c r="H786" s="37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  <c r="AA786" s="29"/>
    </row>
    <row r="787" ht="11.25" customHeight="1">
      <c r="A787" s="29"/>
      <c r="B787" s="29"/>
      <c r="C787" s="37"/>
      <c r="D787" s="29"/>
      <c r="E787" s="29"/>
      <c r="F787" s="37"/>
      <c r="G787" s="37"/>
      <c r="H787" s="37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  <c r="AA787" s="29"/>
    </row>
    <row r="788" ht="11.25" customHeight="1">
      <c r="A788" s="29"/>
      <c r="B788" s="29"/>
      <c r="C788" s="37"/>
      <c r="D788" s="29"/>
      <c r="E788" s="29"/>
      <c r="F788" s="37"/>
      <c r="G788" s="37"/>
      <c r="H788" s="37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  <c r="AA788" s="29"/>
    </row>
    <row r="789" ht="11.25" customHeight="1">
      <c r="A789" s="29"/>
      <c r="B789" s="29"/>
      <c r="C789" s="37"/>
      <c r="D789" s="29"/>
      <c r="E789" s="29"/>
      <c r="F789" s="37"/>
      <c r="G789" s="37"/>
      <c r="H789" s="37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  <c r="AA789" s="29"/>
    </row>
    <row r="790" ht="11.25" customHeight="1">
      <c r="A790" s="29"/>
      <c r="B790" s="29"/>
      <c r="C790" s="37"/>
      <c r="D790" s="29"/>
      <c r="E790" s="29"/>
      <c r="F790" s="37"/>
      <c r="G790" s="37"/>
      <c r="H790" s="37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  <c r="AA790" s="29"/>
    </row>
    <row r="791" ht="11.25" customHeight="1">
      <c r="A791" s="29"/>
      <c r="B791" s="29"/>
      <c r="C791" s="37"/>
      <c r="D791" s="29"/>
      <c r="E791" s="29"/>
      <c r="F791" s="37"/>
      <c r="G791" s="37"/>
      <c r="H791" s="37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  <c r="AA791" s="29"/>
    </row>
    <row r="792" ht="11.25" customHeight="1">
      <c r="A792" s="29"/>
      <c r="B792" s="29"/>
      <c r="C792" s="37"/>
      <c r="D792" s="29"/>
      <c r="E792" s="29"/>
      <c r="F792" s="37"/>
      <c r="G792" s="37"/>
      <c r="H792" s="37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  <c r="AA792" s="29"/>
    </row>
    <row r="793" ht="11.25" customHeight="1">
      <c r="A793" s="29"/>
      <c r="B793" s="29"/>
      <c r="C793" s="37"/>
      <c r="D793" s="29"/>
      <c r="E793" s="29"/>
      <c r="F793" s="37"/>
      <c r="G793" s="37"/>
      <c r="H793" s="37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  <c r="AA793" s="29"/>
    </row>
    <row r="794" ht="11.25" customHeight="1">
      <c r="A794" s="29"/>
      <c r="B794" s="29"/>
      <c r="C794" s="37"/>
      <c r="D794" s="29"/>
      <c r="E794" s="29"/>
      <c r="F794" s="37"/>
      <c r="G794" s="37"/>
      <c r="H794" s="37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  <c r="AA794" s="29"/>
    </row>
    <row r="795" ht="11.25" customHeight="1">
      <c r="A795" s="29"/>
      <c r="B795" s="29"/>
      <c r="C795" s="37"/>
      <c r="D795" s="29"/>
      <c r="E795" s="29"/>
      <c r="F795" s="37"/>
      <c r="G795" s="37"/>
      <c r="H795" s="37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  <c r="AA795" s="29"/>
    </row>
    <row r="796" ht="11.25" customHeight="1">
      <c r="A796" s="29"/>
      <c r="B796" s="29"/>
      <c r="C796" s="37"/>
      <c r="D796" s="29"/>
      <c r="E796" s="29"/>
      <c r="F796" s="37"/>
      <c r="G796" s="37"/>
      <c r="H796" s="37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  <c r="AA796" s="29"/>
    </row>
    <row r="797" ht="11.25" customHeight="1">
      <c r="A797" s="29"/>
      <c r="B797" s="29"/>
      <c r="C797" s="37"/>
      <c r="D797" s="29"/>
      <c r="E797" s="29"/>
      <c r="F797" s="37"/>
      <c r="G797" s="37"/>
      <c r="H797" s="37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  <c r="AA797" s="29"/>
    </row>
    <row r="798" ht="11.25" customHeight="1">
      <c r="A798" s="29"/>
      <c r="B798" s="29"/>
      <c r="C798" s="37"/>
      <c r="D798" s="29"/>
      <c r="E798" s="29"/>
      <c r="F798" s="37"/>
      <c r="G798" s="37"/>
      <c r="H798" s="37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  <c r="AA798" s="29"/>
    </row>
    <row r="799" ht="11.25" customHeight="1">
      <c r="A799" s="29"/>
      <c r="B799" s="29"/>
      <c r="C799" s="37"/>
      <c r="D799" s="29"/>
      <c r="E799" s="29"/>
      <c r="F799" s="37"/>
      <c r="G799" s="37"/>
      <c r="H799" s="37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  <c r="AA799" s="29"/>
    </row>
    <row r="800" ht="11.25" customHeight="1">
      <c r="A800" s="29"/>
      <c r="B800" s="29"/>
      <c r="C800" s="37"/>
      <c r="D800" s="29"/>
      <c r="E800" s="29"/>
      <c r="F800" s="37"/>
      <c r="G800" s="37"/>
      <c r="H800" s="37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  <c r="AA800" s="29"/>
    </row>
    <row r="801" ht="11.25" customHeight="1">
      <c r="A801" s="29"/>
      <c r="B801" s="29"/>
      <c r="C801" s="37"/>
      <c r="D801" s="29"/>
      <c r="E801" s="29"/>
      <c r="F801" s="37"/>
      <c r="G801" s="37"/>
      <c r="H801" s="37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  <c r="AA801" s="29"/>
    </row>
    <row r="802" ht="11.25" customHeight="1">
      <c r="A802" s="29"/>
      <c r="B802" s="29"/>
      <c r="C802" s="37"/>
      <c r="D802" s="29"/>
      <c r="E802" s="29"/>
      <c r="F802" s="37"/>
      <c r="G802" s="37"/>
      <c r="H802" s="37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  <c r="AA802" s="29"/>
    </row>
    <row r="803" ht="11.25" customHeight="1">
      <c r="A803" s="29"/>
      <c r="B803" s="29"/>
      <c r="C803" s="37"/>
      <c r="D803" s="29"/>
      <c r="E803" s="29"/>
      <c r="F803" s="37"/>
      <c r="G803" s="37"/>
      <c r="H803" s="37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  <c r="AA803" s="29"/>
    </row>
    <row r="804" ht="11.25" customHeight="1">
      <c r="A804" s="29"/>
      <c r="B804" s="29"/>
      <c r="C804" s="37"/>
      <c r="D804" s="29"/>
      <c r="E804" s="29"/>
      <c r="F804" s="37"/>
      <c r="G804" s="37"/>
      <c r="H804" s="37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  <c r="AA804" s="29"/>
    </row>
    <row r="805" ht="11.25" customHeight="1">
      <c r="A805" s="29"/>
      <c r="B805" s="29"/>
      <c r="C805" s="37"/>
      <c r="D805" s="29"/>
      <c r="E805" s="29"/>
      <c r="F805" s="37"/>
      <c r="G805" s="37"/>
      <c r="H805" s="37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  <c r="AA805" s="29"/>
    </row>
    <row r="806" ht="11.25" customHeight="1">
      <c r="A806" s="29"/>
      <c r="B806" s="29"/>
      <c r="C806" s="37"/>
      <c r="D806" s="29"/>
      <c r="E806" s="29"/>
      <c r="F806" s="37"/>
      <c r="G806" s="37"/>
      <c r="H806" s="37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  <c r="AA806" s="29"/>
    </row>
    <row r="807" ht="11.25" customHeight="1">
      <c r="A807" s="29"/>
      <c r="B807" s="29"/>
      <c r="C807" s="37"/>
      <c r="D807" s="29"/>
      <c r="E807" s="29"/>
      <c r="F807" s="37"/>
      <c r="G807" s="37"/>
      <c r="H807" s="37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  <c r="AA807" s="29"/>
    </row>
    <row r="808" ht="11.25" customHeight="1">
      <c r="A808" s="29"/>
      <c r="B808" s="29"/>
      <c r="C808" s="37"/>
      <c r="D808" s="29"/>
      <c r="E808" s="29"/>
      <c r="F808" s="37"/>
      <c r="G808" s="37"/>
      <c r="H808" s="37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  <c r="AA808" s="29"/>
    </row>
    <row r="809" ht="11.25" customHeight="1">
      <c r="A809" s="29"/>
      <c r="B809" s="29"/>
      <c r="C809" s="37"/>
      <c r="D809" s="29"/>
      <c r="E809" s="29"/>
      <c r="F809" s="37"/>
      <c r="G809" s="37"/>
      <c r="H809" s="37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  <c r="AA809" s="29"/>
    </row>
    <row r="810" ht="11.25" customHeight="1">
      <c r="A810" s="29"/>
      <c r="B810" s="29"/>
      <c r="C810" s="37"/>
      <c r="D810" s="29"/>
      <c r="E810" s="29"/>
      <c r="F810" s="37"/>
      <c r="G810" s="37"/>
      <c r="H810" s="37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  <c r="AA810" s="29"/>
    </row>
    <row r="811" ht="11.25" customHeight="1">
      <c r="A811" s="29"/>
      <c r="B811" s="29"/>
      <c r="C811" s="37"/>
      <c r="D811" s="29"/>
      <c r="E811" s="29"/>
      <c r="F811" s="37"/>
      <c r="G811" s="37"/>
      <c r="H811" s="37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  <c r="AA811" s="29"/>
    </row>
    <row r="812" ht="11.25" customHeight="1">
      <c r="A812" s="29"/>
      <c r="B812" s="29"/>
      <c r="C812" s="37"/>
      <c r="D812" s="29"/>
      <c r="E812" s="29"/>
      <c r="F812" s="37"/>
      <c r="G812" s="37"/>
      <c r="H812" s="37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  <c r="AA812" s="29"/>
    </row>
    <row r="813" ht="11.25" customHeight="1">
      <c r="A813" s="29"/>
      <c r="B813" s="29"/>
      <c r="C813" s="37"/>
      <c r="D813" s="29"/>
      <c r="E813" s="29"/>
      <c r="F813" s="37"/>
      <c r="G813" s="37"/>
      <c r="H813" s="37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  <c r="AA813" s="29"/>
    </row>
    <row r="814" ht="11.25" customHeight="1">
      <c r="A814" s="29"/>
      <c r="B814" s="29"/>
      <c r="C814" s="37"/>
      <c r="D814" s="29"/>
      <c r="E814" s="29"/>
      <c r="F814" s="37"/>
      <c r="G814" s="37"/>
      <c r="H814" s="37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  <c r="AA814" s="29"/>
    </row>
    <row r="815" ht="11.25" customHeight="1">
      <c r="A815" s="29"/>
      <c r="B815" s="29"/>
      <c r="C815" s="37"/>
      <c r="D815" s="29"/>
      <c r="E815" s="29"/>
      <c r="F815" s="37"/>
      <c r="G815" s="37"/>
      <c r="H815" s="37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  <c r="AA815" s="29"/>
    </row>
    <row r="816" ht="11.25" customHeight="1">
      <c r="A816" s="29"/>
      <c r="B816" s="29"/>
      <c r="C816" s="37"/>
      <c r="D816" s="29"/>
      <c r="E816" s="29"/>
      <c r="F816" s="37"/>
      <c r="G816" s="37"/>
      <c r="H816" s="37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  <c r="AA816" s="29"/>
    </row>
    <row r="817" ht="11.25" customHeight="1">
      <c r="A817" s="29"/>
      <c r="B817" s="29"/>
      <c r="C817" s="37"/>
      <c r="D817" s="29"/>
      <c r="E817" s="29"/>
      <c r="F817" s="37"/>
      <c r="G817" s="37"/>
      <c r="H817" s="37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  <c r="AA817" s="29"/>
    </row>
    <row r="818" ht="11.25" customHeight="1">
      <c r="A818" s="29"/>
      <c r="B818" s="29"/>
      <c r="C818" s="37"/>
      <c r="D818" s="29"/>
      <c r="E818" s="29"/>
      <c r="F818" s="37"/>
      <c r="G818" s="37"/>
      <c r="H818" s="37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  <c r="AA818" s="29"/>
    </row>
    <row r="819" ht="11.25" customHeight="1">
      <c r="A819" s="29"/>
      <c r="B819" s="29"/>
      <c r="C819" s="37"/>
      <c r="D819" s="29"/>
      <c r="E819" s="29"/>
      <c r="F819" s="37"/>
      <c r="G819" s="37"/>
      <c r="H819" s="37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  <c r="AA819" s="29"/>
    </row>
    <row r="820" ht="11.25" customHeight="1">
      <c r="A820" s="29"/>
      <c r="B820" s="29"/>
      <c r="C820" s="37"/>
      <c r="D820" s="29"/>
      <c r="E820" s="29"/>
      <c r="F820" s="37"/>
      <c r="G820" s="37"/>
      <c r="H820" s="37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  <c r="AA820" s="29"/>
    </row>
    <row r="821" ht="11.25" customHeight="1">
      <c r="A821" s="29"/>
      <c r="B821" s="29"/>
      <c r="C821" s="37"/>
      <c r="D821" s="29"/>
      <c r="E821" s="29"/>
      <c r="F821" s="37"/>
      <c r="G821" s="37"/>
      <c r="H821" s="37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  <c r="AA821" s="29"/>
    </row>
    <row r="822" ht="11.25" customHeight="1">
      <c r="A822" s="29"/>
      <c r="B822" s="29"/>
      <c r="C822" s="37"/>
      <c r="D822" s="29"/>
      <c r="E822" s="29"/>
      <c r="F822" s="37"/>
      <c r="G822" s="37"/>
      <c r="H822" s="37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  <c r="AA822" s="29"/>
    </row>
    <row r="823" ht="11.25" customHeight="1">
      <c r="A823" s="29"/>
      <c r="B823" s="29"/>
      <c r="C823" s="37"/>
      <c r="D823" s="29"/>
      <c r="E823" s="29"/>
      <c r="F823" s="37"/>
      <c r="G823" s="37"/>
      <c r="H823" s="37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  <c r="AA823" s="29"/>
    </row>
    <row r="824" ht="11.25" customHeight="1">
      <c r="A824" s="29"/>
      <c r="B824" s="29"/>
      <c r="C824" s="37"/>
      <c r="D824" s="29"/>
      <c r="E824" s="29"/>
      <c r="F824" s="37"/>
      <c r="G824" s="37"/>
      <c r="H824" s="37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  <c r="AA824" s="29"/>
    </row>
    <row r="825" ht="11.25" customHeight="1">
      <c r="A825" s="29"/>
      <c r="B825" s="29"/>
      <c r="C825" s="37"/>
      <c r="D825" s="29"/>
      <c r="E825" s="29"/>
      <c r="F825" s="37"/>
      <c r="G825" s="37"/>
      <c r="H825" s="37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  <c r="AA825" s="29"/>
    </row>
    <row r="826" ht="11.25" customHeight="1">
      <c r="A826" s="29"/>
      <c r="B826" s="29"/>
      <c r="C826" s="37"/>
      <c r="D826" s="29"/>
      <c r="E826" s="29"/>
      <c r="F826" s="37"/>
      <c r="G826" s="37"/>
      <c r="H826" s="37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  <c r="AA826" s="29"/>
    </row>
    <row r="827" ht="11.25" customHeight="1">
      <c r="A827" s="29"/>
      <c r="B827" s="29"/>
      <c r="C827" s="37"/>
      <c r="D827" s="29"/>
      <c r="E827" s="29"/>
      <c r="F827" s="37"/>
      <c r="G827" s="37"/>
      <c r="H827" s="37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  <c r="AA827" s="29"/>
    </row>
    <row r="828" ht="11.25" customHeight="1">
      <c r="A828" s="29"/>
      <c r="B828" s="29"/>
      <c r="C828" s="37"/>
      <c r="D828" s="29"/>
      <c r="E828" s="29"/>
      <c r="F828" s="37"/>
      <c r="G828" s="37"/>
      <c r="H828" s="37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  <c r="AA828" s="29"/>
    </row>
    <row r="829" ht="11.25" customHeight="1">
      <c r="A829" s="29"/>
      <c r="B829" s="29"/>
      <c r="C829" s="37"/>
      <c r="D829" s="29"/>
      <c r="E829" s="29"/>
      <c r="F829" s="37"/>
      <c r="G829" s="37"/>
      <c r="H829" s="37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  <c r="AA829" s="29"/>
    </row>
    <row r="830" ht="11.25" customHeight="1">
      <c r="A830" s="29"/>
      <c r="B830" s="29"/>
      <c r="C830" s="37"/>
      <c r="D830" s="29"/>
      <c r="E830" s="29"/>
      <c r="F830" s="37"/>
      <c r="G830" s="37"/>
      <c r="H830" s="37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  <c r="AA830" s="29"/>
    </row>
    <row r="831" ht="11.25" customHeight="1">
      <c r="A831" s="29"/>
      <c r="B831" s="29"/>
      <c r="C831" s="37"/>
      <c r="D831" s="29"/>
      <c r="E831" s="29"/>
      <c r="F831" s="37"/>
      <c r="G831" s="37"/>
      <c r="H831" s="37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  <c r="AA831" s="29"/>
    </row>
    <row r="832" ht="11.25" customHeight="1">
      <c r="A832" s="29"/>
      <c r="B832" s="29"/>
      <c r="C832" s="37"/>
      <c r="D832" s="29"/>
      <c r="E832" s="29"/>
      <c r="F832" s="37"/>
      <c r="G832" s="37"/>
      <c r="H832" s="37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  <c r="AA832" s="29"/>
    </row>
    <row r="833" ht="11.25" customHeight="1">
      <c r="A833" s="29"/>
      <c r="B833" s="29"/>
      <c r="C833" s="37"/>
      <c r="D833" s="29"/>
      <c r="E833" s="29"/>
      <c r="F833" s="37"/>
      <c r="G833" s="37"/>
      <c r="H833" s="37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  <c r="AA833" s="29"/>
    </row>
    <row r="834" ht="11.25" customHeight="1">
      <c r="A834" s="29"/>
      <c r="B834" s="29"/>
      <c r="C834" s="37"/>
      <c r="D834" s="29"/>
      <c r="E834" s="29"/>
      <c r="F834" s="37"/>
      <c r="G834" s="37"/>
      <c r="H834" s="37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  <c r="AA834" s="29"/>
    </row>
    <row r="835" ht="11.25" customHeight="1">
      <c r="A835" s="29"/>
      <c r="B835" s="29"/>
      <c r="C835" s="37"/>
      <c r="D835" s="29"/>
      <c r="E835" s="29"/>
      <c r="F835" s="37"/>
      <c r="G835" s="37"/>
      <c r="H835" s="37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  <c r="AA835" s="29"/>
    </row>
    <row r="836" ht="11.25" customHeight="1">
      <c r="A836" s="29"/>
      <c r="B836" s="29"/>
      <c r="C836" s="37"/>
      <c r="D836" s="29"/>
      <c r="E836" s="29"/>
      <c r="F836" s="37"/>
      <c r="G836" s="37"/>
      <c r="H836" s="37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  <c r="AA836" s="29"/>
    </row>
    <row r="837" ht="11.25" customHeight="1">
      <c r="A837" s="29"/>
      <c r="B837" s="29"/>
      <c r="C837" s="37"/>
      <c r="D837" s="29"/>
      <c r="E837" s="29"/>
      <c r="F837" s="37"/>
      <c r="G837" s="37"/>
      <c r="H837" s="37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  <c r="AA837" s="29"/>
    </row>
    <row r="838" ht="11.25" customHeight="1">
      <c r="A838" s="29"/>
      <c r="B838" s="29"/>
      <c r="C838" s="37"/>
      <c r="D838" s="29"/>
      <c r="E838" s="29"/>
      <c r="F838" s="37"/>
      <c r="G838" s="37"/>
      <c r="H838" s="37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  <c r="AA838" s="29"/>
    </row>
    <row r="839" ht="11.25" customHeight="1">
      <c r="A839" s="29"/>
      <c r="B839" s="29"/>
      <c r="C839" s="37"/>
      <c r="D839" s="29"/>
      <c r="E839" s="29"/>
      <c r="F839" s="37"/>
      <c r="G839" s="37"/>
      <c r="H839" s="37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  <c r="AA839" s="29"/>
    </row>
    <row r="840" ht="11.25" customHeight="1">
      <c r="A840" s="29"/>
      <c r="B840" s="29"/>
      <c r="C840" s="37"/>
      <c r="D840" s="29"/>
      <c r="E840" s="29"/>
      <c r="F840" s="37"/>
      <c r="G840" s="37"/>
      <c r="H840" s="37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  <c r="AA840" s="29"/>
    </row>
    <row r="841" ht="11.25" customHeight="1">
      <c r="A841" s="29"/>
      <c r="B841" s="29"/>
      <c r="C841" s="37"/>
      <c r="D841" s="29"/>
      <c r="E841" s="29"/>
      <c r="F841" s="37"/>
      <c r="G841" s="37"/>
      <c r="H841" s="37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  <c r="AA841" s="29"/>
    </row>
    <row r="842" ht="11.25" customHeight="1">
      <c r="A842" s="29"/>
      <c r="B842" s="29"/>
      <c r="C842" s="37"/>
      <c r="D842" s="29"/>
      <c r="E842" s="29"/>
      <c r="F842" s="37"/>
      <c r="G842" s="37"/>
      <c r="H842" s="37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  <c r="AA842" s="29"/>
    </row>
    <row r="843" ht="11.25" customHeight="1">
      <c r="A843" s="29"/>
      <c r="B843" s="29"/>
      <c r="C843" s="37"/>
      <c r="D843" s="29"/>
      <c r="E843" s="29"/>
      <c r="F843" s="37"/>
      <c r="G843" s="37"/>
      <c r="H843" s="37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  <c r="AA843" s="29"/>
    </row>
    <row r="844" ht="11.25" customHeight="1">
      <c r="A844" s="29"/>
      <c r="B844" s="29"/>
      <c r="C844" s="37"/>
      <c r="D844" s="29"/>
      <c r="E844" s="29"/>
      <c r="F844" s="37"/>
      <c r="G844" s="37"/>
      <c r="H844" s="37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  <c r="AA844" s="29"/>
    </row>
    <row r="845" ht="11.25" customHeight="1">
      <c r="A845" s="29"/>
      <c r="B845" s="29"/>
      <c r="C845" s="37"/>
      <c r="D845" s="29"/>
      <c r="E845" s="29"/>
      <c r="F845" s="37"/>
      <c r="G845" s="37"/>
      <c r="H845" s="37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  <c r="AA845" s="29"/>
    </row>
    <row r="846" ht="11.25" customHeight="1">
      <c r="A846" s="29"/>
      <c r="B846" s="29"/>
      <c r="C846" s="37"/>
      <c r="D846" s="29"/>
      <c r="E846" s="29"/>
      <c r="F846" s="37"/>
      <c r="G846" s="37"/>
      <c r="H846" s="37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  <c r="AA846" s="29"/>
    </row>
    <row r="847" ht="11.25" customHeight="1">
      <c r="A847" s="29"/>
      <c r="B847" s="29"/>
      <c r="C847" s="37"/>
      <c r="D847" s="29"/>
      <c r="E847" s="29"/>
      <c r="F847" s="37"/>
      <c r="G847" s="37"/>
      <c r="H847" s="37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  <c r="AA847" s="29"/>
    </row>
    <row r="848" ht="11.25" customHeight="1">
      <c r="A848" s="29"/>
      <c r="B848" s="29"/>
      <c r="C848" s="37"/>
      <c r="D848" s="29"/>
      <c r="E848" s="29"/>
      <c r="F848" s="37"/>
      <c r="G848" s="37"/>
      <c r="H848" s="37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  <c r="AA848" s="29"/>
    </row>
    <row r="849" ht="11.25" customHeight="1">
      <c r="A849" s="29"/>
      <c r="B849" s="29"/>
      <c r="C849" s="37"/>
      <c r="D849" s="29"/>
      <c r="E849" s="29"/>
      <c r="F849" s="37"/>
      <c r="G849" s="37"/>
      <c r="H849" s="37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  <c r="AA849" s="29"/>
    </row>
    <row r="850" ht="11.25" customHeight="1">
      <c r="A850" s="29"/>
      <c r="B850" s="29"/>
      <c r="C850" s="37"/>
      <c r="D850" s="29"/>
      <c r="E850" s="29"/>
      <c r="F850" s="37"/>
      <c r="G850" s="37"/>
      <c r="H850" s="37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  <c r="AA850" s="29"/>
    </row>
    <row r="851" ht="11.25" customHeight="1">
      <c r="A851" s="29"/>
      <c r="B851" s="29"/>
      <c r="C851" s="37"/>
      <c r="D851" s="29"/>
      <c r="E851" s="29"/>
      <c r="F851" s="37"/>
      <c r="G851" s="37"/>
      <c r="H851" s="37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  <c r="AA851" s="29"/>
    </row>
    <row r="852" ht="11.25" customHeight="1">
      <c r="A852" s="29"/>
      <c r="B852" s="29"/>
      <c r="C852" s="37"/>
      <c r="D852" s="29"/>
      <c r="E852" s="29"/>
      <c r="F852" s="37"/>
      <c r="G852" s="37"/>
      <c r="H852" s="37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  <c r="AA852" s="29"/>
    </row>
    <row r="853" ht="11.25" customHeight="1">
      <c r="A853" s="29"/>
      <c r="B853" s="29"/>
      <c r="C853" s="37"/>
      <c r="D853" s="29"/>
      <c r="E853" s="29"/>
      <c r="F853" s="37"/>
      <c r="G853" s="37"/>
      <c r="H853" s="37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  <c r="AA853" s="29"/>
    </row>
    <row r="854" ht="11.25" customHeight="1">
      <c r="A854" s="29"/>
      <c r="B854" s="29"/>
      <c r="C854" s="37"/>
      <c r="D854" s="29"/>
      <c r="E854" s="29"/>
      <c r="F854" s="37"/>
      <c r="G854" s="37"/>
      <c r="H854" s="37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  <c r="AA854" s="29"/>
    </row>
    <row r="855" ht="11.25" customHeight="1">
      <c r="A855" s="29"/>
      <c r="B855" s="29"/>
      <c r="C855" s="37"/>
      <c r="D855" s="29"/>
      <c r="E855" s="29"/>
      <c r="F855" s="37"/>
      <c r="G855" s="37"/>
      <c r="H855" s="37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  <c r="AA855" s="29"/>
    </row>
    <row r="856" ht="11.25" customHeight="1">
      <c r="A856" s="29"/>
      <c r="B856" s="29"/>
      <c r="C856" s="37"/>
      <c r="D856" s="29"/>
      <c r="E856" s="29"/>
      <c r="F856" s="37"/>
      <c r="G856" s="37"/>
      <c r="H856" s="37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  <c r="AA856" s="29"/>
    </row>
    <row r="857" ht="11.25" customHeight="1">
      <c r="A857" s="29"/>
      <c r="B857" s="29"/>
      <c r="C857" s="37"/>
      <c r="D857" s="29"/>
      <c r="E857" s="29"/>
      <c r="F857" s="37"/>
      <c r="G857" s="37"/>
      <c r="H857" s="37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  <c r="AA857" s="29"/>
    </row>
    <row r="858" ht="11.25" customHeight="1">
      <c r="A858" s="29"/>
      <c r="B858" s="29"/>
      <c r="C858" s="37"/>
      <c r="D858" s="29"/>
      <c r="E858" s="29"/>
      <c r="F858" s="37"/>
      <c r="G858" s="37"/>
      <c r="H858" s="37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  <c r="AA858" s="29"/>
    </row>
    <row r="859" ht="11.25" customHeight="1">
      <c r="A859" s="29"/>
      <c r="B859" s="29"/>
      <c r="C859" s="37"/>
      <c r="D859" s="29"/>
      <c r="E859" s="29"/>
      <c r="F859" s="37"/>
      <c r="G859" s="37"/>
      <c r="H859" s="37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  <c r="AA859" s="29"/>
    </row>
    <row r="860" ht="11.25" customHeight="1">
      <c r="A860" s="29"/>
      <c r="B860" s="29"/>
      <c r="C860" s="37"/>
      <c r="D860" s="29"/>
      <c r="E860" s="29"/>
      <c r="F860" s="37"/>
      <c r="G860" s="37"/>
      <c r="H860" s="37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  <c r="AA860" s="29"/>
    </row>
    <row r="861" ht="11.25" customHeight="1">
      <c r="A861" s="29"/>
      <c r="B861" s="29"/>
      <c r="C861" s="37"/>
      <c r="D861" s="29"/>
      <c r="E861" s="29"/>
      <c r="F861" s="37"/>
      <c r="G861" s="37"/>
      <c r="H861" s="37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  <c r="AA861" s="29"/>
    </row>
    <row r="862" ht="11.25" customHeight="1">
      <c r="A862" s="29"/>
      <c r="B862" s="29"/>
      <c r="C862" s="37"/>
      <c r="D862" s="29"/>
      <c r="E862" s="29"/>
      <c r="F862" s="37"/>
      <c r="G862" s="37"/>
      <c r="H862" s="37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  <c r="AA862" s="29"/>
    </row>
    <row r="863" ht="11.25" customHeight="1">
      <c r="A863" s="29"/>
      <c r="B863" s="29"/>
      <c r="C863" s="37"/>
      <c r="D863" s="29"/>
      <c r="E863" s="29"/>
      <c r="F863" s="37"/>
      <c r="G863" s="37"/>
      <c r="H863" s="37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  <c r="AA863" s="29"/>
    </row>
    <row r="864" ht="11.25" customHeight="1">
      <c r="A864" s="29"/>
      <c r="B864" s="29"/>
      <c r="C864" s="37"/>
      <c r="D864" s="29"/>
      <c r="E864" s="29"/>
      <c r="F864" s="37"/>
      <c r="G864" s="37"/>
      <c r="H864" s="37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  <c r="AA864" s="29"/>
    </row>
    <row r="865" ht="11.25" customHeight="1">
      <c r="A865" s="29"/>
      <c r="B865" s="29"/>
      <c r="C865" s="37"/>
      <c r="D865" s="29"/>
      <c r="E865" s="29"/>
      <c r="F865" s="37"/>
      <c r="G865" s="37"/>
      <c r="H865" s="37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  <c r="AA865" s="29"/>
    </row>
    <row r="866" ht="11.25" customHeight="1">
      <c r="A866" s="29"/>
      <c r="B866" s="29"/>
      <c r="C866" s="37"/>
      <c r="D866" s="29"/>
      <c r="E866" s="29"/>
      <c r="F866" s="37"/>
      <c r="G866" s="37"/>
      <c r="H866" s="37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  <c r="AA866" s="29"/>
    </row>
    <row r="867" ht="11.25" customHeight="1">
      <c r="A867" s="29"/>
      <c r="B867" s="29"/>
      <c r="C867" s="37"/>
      <c r="D867" s="29"/>
      <c r="E867" s="29"/>
      <c r="F867" s="37"/>
      <c r="G867" s="37"/>
      <c r="H867" s="37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  <c r="AA867" s="29"/>
    </row>
    <row r="868" ht="11.25" customHeight="1">
      <c r="A868" s="29"/>
      <c r="B868" s="29"/>
      <c r="C868" s="37"/>
      <c r="D868" s="29"/>
      <c r="E868" s="29"/>
      <c r="F868" s="37"/>
      <c r="G868" s="37"/>
      <c r="H868" s="37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  <c r="AA868" s="29"/>
    </row>
    <row r="869" ht="11.25" customHeight="1">
      <c r="A869" s="29"/>
      <c r="B869" s="29"/>
      <c r="C869" s="37"/>
      <c r="D869" s="29"/>
      <c r="E869" s="29"/>
      <c r="F869" s="37"/>
      <c r="G869" s="37"/>
      <c r="H869" s="37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  <c r="AA869" s="29"/>
    </row>
    <row r="870" ht="11.25" customHeight="1">
      <c r="A870" s="29"/>
      <c r="B870" s="29"/>
      <c r="C870" s="37"/>
      <c r="D870" s="29"/>
      <c r="E870" s="29"/>
      <c r="F870" s="37"/>
      <c r="G870" s="37"/>
      <c r="H870" s="37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  <c r="AA870" s="29"/>
    </row>
    <row r="871" ht="11.25" customHeight="1">
      <c r="A871" s="29"/>
      <c r="B871" s="29"/>
      <c r="C871" s="37"/>
      <c r="D871" s="29"/>
      <c r="E871" s="29"/>
      <c r="F871" s="37"/>
      <c r="G871" s="37"/>
      <c r="H871" s="37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  <c r="AA871" s="29"/>
    </row>
    <row r="872" ht="11.25" customHeight="1">
      <c r="A872" s="29"/>
      <c r="B872" s="29"/>
      <c r="C872" s="37"/>
      <c r="D872" s="29"/>
      <c r="E872" s="29"/>
      <c r="F872" s="37"/>
      <c r="G872" s="37"/>
      <c r="H872" s="37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  <c r="AA872" s="29"/>
    </row>
    <row r="873" ht="11.25" customHeight="1">
      <c r="A873" s="29"/>
      <c r="B873" s="29"/>
      <c r="C873" s="37"/>
      <c r="D873" s="29"/>
      <c r="E873" s="29"/>
      <c r="F873" s="37"/>
      <c r="G873" s="37"/>
      <c r="H873" s="37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  <c r="AA873" s="29"/>
    </row>
    <row r="874" ht="11.25" customHeight="1">
      <c r="A874" s="29"/>
      <c r="B874" s="29"/>
      <c r="C874" s="37"/>
      <c r="D874" s="29"/>
      <c r="E874" s="29"/>
      <c r="F874" s="37"/>
      <c r="G874" s="37"/>
      <c r="H874" s="37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  <c r="AA874" s="29"/>
    </row>
    <row r="875" ht="11.25" customHeight="1">
      <c r="A875" s="29"/>
      <c r="B875" s="29"/>
      <c r="C875" s="37"/>
      <c r="D875" s="29"/>
      <c r="E875" s="29"/>
      <c r="F875" s="37"/>
      <c r="G875" s="37"/>
      <c r="H875" s="37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  <c r="AA875" s="29"/>
    </row>
    <row r="876" ht="11.25" customHeight="1">
      <c r="A876" s="29"/>
      <c r="B876" s="29"/>
      <c r="C876" s="37"/>
      <c r="D876" s="29"/>
      <c r="E876" s="29"/>
      <c r="F876" s="37"/>
      <c r="G876" s="37"/>
      <c r="H876" s="37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  <c r="AA876" s="29"/>
    </row>
    <row r="877" ht="11.25" customHeight="1">
      <c r="A877" s="29"/>
      <c r="B877" s="29"/>
      <c r="C877" s="37"/>
      <c r="D877" s="29"/>
      <c r="E877" s="29"/>
      <c r="F877" s="37"/>
      <c r="G877" s="37"/>
      <c r="H877" s="37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  <c r="AA877" s="29"/>
    </row>
    <row r="878" ht="11.25" customHeight="1">
      <c r="A878" s="29"/>
      <c r="B878" s="29"/>
      <c r="C878" s="37"/>
      <c r="D878" s="29"/>
      <c r="E878" s="29"/>
      <c r="F878" s="37"/>
      <c r="G878" s="37"/>
      <c r="H878" s="37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  <c r="AA878" s="29"/>
    </row>
    <row r="879" ht="11.25" customHeight="1">
      <c r="A879" s="29"/>
      <c r="B879" s="29"/>
      <c r="C879" s="37"/>
      <c r="D879" s="29"/>
      <c r="E879" s="29"/>
      <c r="F879" s="37"/>
      <c r="G879" s="37"/>
      <c r="H879" s="37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  <c r="AA879" s="29"/>
    </row>
    <row r="880" ht="11.25" customHeight="1">
      <c r="A880" s="29"/>
      <c r="B880" s="29"/>
      <c r="C880" s="37"/>
      <c r="D880" s="29"/>
      <c r="E880" s="29"/>
      <c r="F880" s="37"/>
      <c r="G880" s="37"/>
      <c r="H880" s="37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  <c r="AA880" s="29"/>
    </row>
    <row r="881" ht="11.25" customHeight="1">
      <c r="A881" s="29"/>
      <c r="B881" s="29"/>
      <c r="C881" s="37"/>
      <c r="D881" s="29"/>
      <c r="E881" s="29"/>
      <c r="F881" s="37"/>
      <c r="G881" s="37"/>
      <c r="H881" s="37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  <c r="AA881" s="29"/>
    </row>
    <row r="882" ht="11.25" customHeight="1">
      <c r="A882" s="29"/>
      <c r="B882" s="29"/>
      <c r="C882" s="37"/>
      <c r="D882" s="29"/>
      <c r="E882" s="29"/>
      <c r="F882" s="37"/>
      <c r="G882" s="37"/>
      <c r="H882" s="37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  <c r="AA882" s="29"/>
    </row>
    <row r="883" ht="11.25" customHeight="1">
      <c r="A883" s="29"/>
      <c r="B883" s="29"/>
      <c r="C883" s="37"/>
      <c r="D883" s="29"/>
      <c r="E883" s="29"/>
      <c r="F883" s="37"/>
      <c r="G883" s="37"/>
      <c r="H883" s="37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  <c r="AA883" s="29"/>
    </row>
    <row r="884" ht="11.25" customHeight="1">
      <c r="A884" s="29"/>
      <c r="B884" s="29"/>
      <c r="C884" s="37"/>
      <c r="D884" s="29"/>
      <c r="E884" s="29"/>
      <c r="F884" s="37"/>
      <c r="G884" s="37"/>
      <c r="H884" s="37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  <c r="AA884" s="29"/>
    </row>
    <row r="885" ht="11.25" customHeight="1">
      <c r="A885" s="29"/>
      <c r="B885" s="29"/>
      <c r="C885" s="37"/>
      <c r="D885" s="29"/>
      <c r="E885" s="29"/>
      <c r="F885" s="37"/>
      <c r="G885" s="37"/>
      <c r="H885" s="37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  <c r="AA885" s="29"/>
    </row>
    <row r="886" ht="11.25" customHeight="1">
      <c r="A886" s="29"/>
      <c r="B886" s="29"/>
      <c r="C886" s="37"/>
      <c r="D886" s="29"/>
      <c r="E886" s="29"/>
      <c r="F886" s="37"/>
      <c r="G886" s="37"/>
      <c r="H886" s="37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  <c r="AA886" s="29"/>
    </row>
    <row r="887" ht="11.25" customHeight="1">
      <c r="A887" s="29"/>
      <c r="B887" s="29"/>
      <c r="C887" s="37"/>
      <c r="D887" s="29"/>
      <c r="E887" s="29"/>
      <c r="F887" s="37"/>
      <c r="G887" s="37"/>
      <c r="H887" s="37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  <c r="AA887" s="29"/>
    </row>
    <row r="888" ht="11.25" customHeight="1">
      <c r="A888" s="29"/>
      <c r="B888" s="29"/>
      <c r="C888" s="37"/>
      <c r="D888" s="29"/>
      <c r="E888" s="29"/>
      <c r="F888" s="37"/>
      <c r="G888" s="37"/>
      <c r="H888" s="37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  <c r="AA888" s="29"/>
    </row>
    <row r="889" ht="11.25" customHeight="1">
      <c r="A889" s="29"/>
      <c r="B889" s="29"/>
      <c r="C889" s="37"/>
      <c r="D889" s="29"/>
      <c r="E889" s="29"/>
      <c r="F889" s="37"/>
      <c r="G889" s="37"/>
      <c r="H889" s="37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  <c r="AA889" s="29"/>
    </row>
    <row r="890" ht="11.25" customHeight="1">
      <c r="A890" s="29"/>
      <c r="B890" s="29"/>
      <c r="C890" s="37"/>
      <c r="D890" s="29"/>
      <c r="E890" s="29"/>
      <c r="F890" s="37"/>
      <c r="G890" s="37"/>
      <c r="H890" s="37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  <c r="AA890" s="29"/>
    </row>
    <row r="891" ht="11.25" customHeight="1">
      <c r="A891" s="29"/>
      <c r="B891" s="29"/>
      <c r="C891" s="37"/>
      <c r="D891" s="29"/>
      <c r="E891" s="29"/>
      <c r="F891" s="37"/>
      <c r="G891" s="37"/>
      <c r="H891" s="37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  <c r="AA891" s="29"/>
    </row>
    <row r="892" ht="11.25" customHeight="1">
      <c r="A892" s="29"/>
      <c r="B892" s="29"/>
      <c r="C892" s="37"/>
      <c r="D892" s="29"/>
      <c r="E892" s="29"/>
      <c r="F892" s="37"/>
      <c r="G892" s="37"/>
      <c r="H892" s="37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  <c r="AA892" s="29"/>
    </row>
    <row r="893" ht="11.25" customHeight="1">
      <c r="A893" s="29"/>
      <c r="B893" s="29"/>
      <c r="C893" s="37"/>
      <c r="D893" s="29"/>
      <c r="E893" s="29"/>
      <c r="F893" s="37"/>
      <c r="G893" s="37"/>
      <c r="H893" s="37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  <c r="AA893" s="29"/>
    </row>
    <row r="894" ht="11.25" customHeight="1">
      <c r="A894" s="29"/>
      <c r="B894" s="29"/>
      <c r="C894" s="37"/>
      <c r="D894" s="29"/>
      <c r="E894" s="29"/>
      <c r="F894" s="37"/>
      <c r="G894" s="37"/>
      <c r="H894" s="37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  <c r="AA894" s="29"/>
    </row>
    <row r="895" ht="11.25" customHeight="1">
      <c r="A895" s="29"/>
      <c r="B895" s="29"/>
      <c r="C895" s="37"/>
      <c r="D895" s="29"/>
      <c r="E895" s="29"/>
      <c r="F895" s="37"/>
      <c r="G895" s="37"/>
      <c r="H895" s="37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  <c r="AA895" s="29"/>
    </row>
    <row r="896" ht="11.25" customHeight="1">
      <c r="A896" s="29"/>
      <c r="B896" s="29"/>
      <c r="C896" s="37"/>
      <c r="D896" s="29"/>
      <c r="E896" s="29"/>
      <c r="F896" s="37"/>
      <c r="G896" s="37"/>
      <c r="H896" s="37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  <c r="AA896" s="29"/>
    </row>
    <row r="897" ht="11.25" customHeight="1">
      <c r="A897" s="29"/>
      <c r="B897" s="29"/>
      <c r="C897" s="37"/>
      <c r="D897" s="29"/>
      <c r="E897" s="29"/>
      <c r="F897" s="37"/>
      <c r="G897" s="37"/>
      <c r="H897" s="37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  <c r="AA897" s="29"/>
    </row>
    <row r="898" ht="11.25" customHeight="1">
      <c r="A898" s="29"/>
      <c r="B898" s="29"/>
      <c r="C898" s="37"/>
      <c r="D898" s="29"/>
      <c r="E898" s="29"/>
      <c r="F898" s="37"/>
      <c r="G898" s="37"/>
      <c r="H898" s="37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  <c r="AA898" s="29"/>
    </row>
    <row r="899" ht="11.25" customHeight="1">
      <c r="A899" s="29"/>
      <c r="B899" s="29"/>
      <c r="C899" s="37"/>
      <c r="D899" s="29"/>
      <c r="E899" s="29"/>
      <c r="F899" s="37"/>
      <c r="G899" s="37"/>
      <c r="H899" s="37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  <c r="AA899" s="29"/>
    </row>
    <row r="900" ht="11.25" customHeight="1">
      <c r="A900" s="29"/>
      <c r="B900" s="29"/>
      <c r="C900" s="37"/>
      <c r="D900" s="29"/>
      <c r="E900" s="29"/>
      <c r="F900" s="37"/>
      <c r="G900" s="37"/>
      <c r="H900" s="37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  <c r="AA900" s="29"/>
    </row>
    <row r="901" ht="11.25" customHeight="1">
      <c r="A901" s="29"/>
      <c r="B901" s="29"/>
      <c r="C901" s="37"/>
      <c r="D901" s="29"/>
      <c r="E901" s="29"/>
      <c r="F901" s="37"/>
      <c r="G901" s="37"/>
      <c r="H901" s="37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  <c r="AA901" s="29"/>
    </row>
    <row r="902" ht="11.25" customHeight="1">
      <c r="A902" s="29"/>
      <c r="B902" s="29"/>
      <c r="C902" s="37"/>
      <c r="D902" s="29"/>
      <c r="E902" s="29"/>
      <c r="F902" s="37"/>
      <c r="G902" s="37"/>
      <c r="H902" s="37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  <c r="AA902" s="29"/>
    </row>
    <row r="903" ht="11.25" customHeight="1">
      <c r="A903" s="29"/>
      <c r="B903" s="29"/>
      <c r="C903" s="37"/>
      <c r="D903" s="29"/>
      <c r="E903" s="29"/>
      <c r="F903" s="37"/>
      <c r="G903" s="37"/>
      <c r="H903" s="37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  <c r="AA903" s="29"/>
    </row>
    <row r="904" ht="11.25" customHeight="1">
      <c r="A904" s="29"/>
      <c r="B904" s="29"/>
      <c r="C904" s="37"/>
      <c r="D904" s="29"/>
      <c r="E904" s="29"/>
      <c r="F904" s="37"/>
      <c r="G904" s="37"/>
      <c r="H904" s="37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  <c r="AA904" s="29"/>
    </row>
    <row r="905" ht="11.25" customHeight="1">
      <c r="A905" s="29"/>
      <c r="B905" s="29"/>
      <c r="C905" s="37"/>
      <c r="D905" s="29"/>
      <c r="E905" s="29"/>
      <c r="F905" s="37"/>
      <c r="G905" s="37"/>
      <c r="H905" s="37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  <c r="AA905" s="29"/>
    </row>
    <row r="906" ht="11.25" customHeight="1">
      <c r="A906" s="29"/>
      <c r="B906" s="29"/>
      <c r="C906" s="37"/>
      <c r="D906" s="29"/>
      <c r="E906" s="29"/>
      <c r="F906" s="37"/>
      <c r="G906" s="37"/>
      <c r="H906" s="37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  <c r="AA906" s="29"/>
    </row>
    <row r="907" ht="11.25" customHeight="1">
      <c r="A907" s="29"/>
      <c r="B907" s="29"/>
      <c r="C907" s="37"/>
      <c r="D907" s="29"/>
      <c r="E907" s="29"/>
      <c r="F907" s="37"/>
      <c r="G907" s="37"/>
      <c r="H907" s="37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  <c r="AA907" s="29"/>
    </row>
    <row r="908" ht="11.25" customHeight="1">
      <c r="A908" s="29"/>
      <c r="B908" s="29"/>
      <c r="C908" s="37"/>
      <c r="D908" s="29"/>
      <c r="E908" s="29"/>
      <c r="F908" s="37"/>
      <c r="G908" s="37"/>
      <c r="H908" s="37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  <c r="AA908" s="29"/>
    </row>
    <row r="909" ht="11.25" customHeight="1">
      <c r="A909" s="29"/>
      <c r="B909" s="29"/>
      <c r="C909" s="37"/>
      <c r="D909" s="29"/>
      <c r="E909" s="29"/>
      <c r="F909" s="37"/>
      <c r="G909" s="37"/>
      <c r="H909" s="37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  <c r="AA909" s="29"/>
    </row>
    <row r="910" ht="11.25" customHeight="1">
      <c r="A910" s="29"/>
      <c r="B910" s="29"/>
      <c r="C910" s="37"/>
      <c r="D910" s="29"/>
      <c r="E910" s="29"/>
      <c r="F910" s="37"/>
      <c r="G910" s="37"/>
      <c r="H910" s="37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  <c r="AA910" s="29"/>
    </row>
    <row r="911" ht="11.25" customHeight="1">
      <c r="A911" s="29"/>
      <c r="B911" s="29"/>
      <c r="C911" s="37"/>
      <c r="D911" s="29"/>
      <c r="E911" s="29"/>
      <c r="F911" s="37"/>
      <c r="G911" s="37"/>
      <c r="H911" s="37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  <c r="AA911" s="29"/>
    </row>
    <row r="912" ht="11.25" customHeight="1">
      <c r="A912" s="29"/>
      <c r="B912" s="29"/>
      <c r="C912" s="37"/>
      <c r="D912" s="29"/>
      <c r="E912" s="29"/>
      <c r="F912" s="37"/>
      <c r="G912" s="37"/>
      <c r="H912" s="37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  <c r="AA912" s="29"/>
    </row>
    <row r="913" ht="11.25" customHeight="1">
      <c r="A913" s="29"/>
      <c r="B913" s="29"/>
      <c r="C913" s="37"/>
      <c r="D913" s="29"/>
      <c r="E913" s="29"/>
      <c r="F913" s="37"/>
      <c r="G913" s="37"/>
      <c r="H913" s="37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  <c r="AA913" s="29"/>
    </row>
    <row r="914" ht="11.25" customHeight="1">
      <c r="A914" s="29"/>
      <c r="B914" s="29"/>
      <c r="C914" s="37"/>
      <c r="D914" s="29"/>
      <c r="E914" s="29"/>
      <c r="F914" s="37"/>
      <c r="G914" s="37"/>
      <c r="H914" s="37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  <c r="AA914" s="29"/>
    </row>
    <row r="915" ht="11.25" customHeight="1">
      <c r="A915" s="29"/>
      <c r="B915" s="29"/>
      <c r="C915" s="37"/>
      <c r="D915" s="29"/>
      <c r="E915" s="29"/>
      <c r="F915" s="37"/>
      <c r="G915" s="37"/>
      <c r="H915" s="37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  <c r="AA915" s="29"/>
    </row>
    <row r="916" ht="11.25" customHeight="1">
      <c r="A916" s="29"/>
      <c r="B916" s="29"/>
      <c r="C916" s="37"/>
      <c r="D916" s="29"/>
      <c r="E916" s="29"/>
      <c r="F916" s="37"/>
      <c r="G916" s="37"/>
      <c r="H916" s="37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  <c r="AA916" s="29"/>
    </row>
    <row r="917" ht="11.25" customHeight="1">
      <c r="A917" s="29"/>
      <c r="B917" s="29"/>
      <c r="C917" s="37"/>
      <c r="D917" s="29"/>
      <c r="E917" s="29"/>
      <c r="F917" s="37"/>
      <c r="G917" s="37"/>
      <c r="H917" s="37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  <c r="AA917" s="29"/>
    </row>
    <row r="918" ht="11.25" customHeight="1">
      <c r="A918" s="29"/>
      <c r="B918" s="29"/>
      <c r="C918" s="37"/>
      <c r="D918" s="29"/>
      <c r="E918" s="29"/>
      <c r="F918" s="37"/>
      <c r="G918" s="37"/>
      <c r="H918" s="37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  <c r="AA918" s="29"/>
    </row>
    <row r="919" ht="11.25" customHeight="1">
      <c r="A919" s="29"/>
      <c r="B919" s="29"/>
      <c r="C919" s="37"/>
      <c r="D919" s="29"/>
      <c r="E919" s="29"/>
      <c r="F919" s="37"/>
      <c r="G919" s="37"/>
      <c r="H919" s="37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  <c r="AA919" s="29"/>
    </row>
    <row r="920" ht="11.25" customHeight="1">
      <c r="A920" s="29"/>
      <c r="B920" s="29"/>
      <c r="C920" s="37"/>
      <c r="D920" s="29"/>
      <c r="E920" s="29"/>
      <c r="F920" s="37"/>
      <c r="G920" s="37"/>
      <c r="H920" s="37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  <c r="AA920" s="29"/>
    </row>
    <row r="921" ht="11.25" customHeight="1">
      <c r="A921" s="29"/>
      <c r="B921" s="29"/>
      <c r="C921" s="37"/>
      <c r="D921" s="29"/>
      <c r="E921" s="29"/>
      <c r="F921" s="37"/>
      <c r="G921" s="37"/>
      <c r="H921" s="37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  <c r="AA921" s="29"/>
    </row>
    <row r="922" ht="11.25" customHeight="1">
      <c r="A922" s="29"/>
      <c r="B922" s="29"/>
      <c r="C922" s="37"/>
      <c r="D922" s="29"/>
      <c r="E922" s="29"/>
      <c r="F922" s="37"/>
      <c r="G922" s="37"/>
      <c r="H922" s="37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  <c r="AA922" s="29"/>
    </row>
    <row r="923" ht="11.25" customHeight="1">
      <c r="A923" s="29"/>
      <c r="B923" s="29"/>
      <c r="C923" s="37"/>
      <c r="D923" s="29"/>
      <c r="E923" s="29"/>
      <c r="F923" s="37"/>
      <c r="G923" s="37"/>
      <c r="H923" s="37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  <c r="AA923" s="29"/>
    </row>
    <row r="924" ht="11.25" customHeight="1">
      <c r="A924" s="29"/>
      <c r="B924" s="29"/>
      <c r="C924" s="37"/>
      <c r="D924" s="29"/>
      <c r="E924" s="29"/>
      <c r="F924" s="37"/>
      <c r="G924" s="37"/>
      <c r="H924" s="37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  <c r="AA924" s="29"/>
    </row>
    <row r="925" ht="11.25" customHeight="1">
      <c r="A925" s="29"/>
      <c r="B925" s="29"/>
      <c r="C925" s="37"/>
      <c r="D925" s="29"/>
      <c r="E925" s="29"/>
      <c r="F925" s="37"/>
      <c r="G925" s="37"/>
      <c r="H925" s="37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  <c r="AA925" s="29"/>
    </row>
    <row r="926" ht="11.25" customHeight="1">
      <c r="A926" s="29"/>
      <c r="B926" s="29"/>
      <c r="C926" s="37"/>
      <c r="D926" s="29"/>
      <c r="E926" s="29"/>
      <c r="F926" s="37"/>
      <c r="G926" s="37"/>
      <c r="H926" s="37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  <c r="AA926" s="29"/>
    </row>
    <row r="927" ht="11.25" customHeight="1">
      <c r="A927" s="29"/>
      <c r="B927" s="29"/>
      <c r="C927" s="37"/>
      <c r="D927" s="29"/>
      <c r="E927" s="29"/>
      <c r="F927" s="37"/>
      <c r="G927" s="37"/>
      <c r="H927" s="37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  <c r="AA927" s="29"/>
    </row>
    <row r="928" ht="11.25" customHeight="1">
      <c r="A928" s="29"/>
      <c r="B928" s="29"/>
      <c r="C928" s="37"/>
      <c r="D928" s="29"/>
      <c r="E928" s="29"/>
      <c r="F928" s="37"/>
      <c r="G928" s="37"/>
      <c r="H928" s="37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  <c r="AA928" s="29"/>
    </row>
    <row r="929" ht="11.25" customHeight="1">
      <c r="A929" s="29"/>
      <c r="B929" s="29"/>
      <c r="C929" s="37"/>
      <c r="D929" s="29"/>
      <c r="E929" s="29"/>
      <c r="F929" s="37"/>
      <c r="G929" s="37"/>
      <c r="H929" s="37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  <c r="AA929" s="29"/>
    </row>
    <row r="930" ht="11.25" customHeight="1">
      <c r="A930" s="29"/>
      <c r="B930" s="29"/>
      <c r="C930" s="37"/>
      <c r="D930" s="29"/>
      <c r="E930" s="29"/>
      <c r="F930" s="37"/>
      <c r="G930" s="37"/>
      <c r="H930" s="37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  <c r="AA930" s="29"/>
    </row>
    <row r="931" ht="11.25" customHeight="1">
      <c r="A931" s="29"/>
      <c r="B931" s="29"/>
      <c r="C931" s="37"/>
      <c r="D931" s="29"/>
      <c r="E931" s="29"/>
      <c r="F931" s="37"/>
      <c r="G931" s="37"/>
      <c r="H931" s="37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  <c r="AA931" s="29"/>
    </row>
    <row r="932" ht="11.25" customHeight="1">
      <c r="A932" s="29"/>
      <c r="B932" s="29"/>
      <c r="C932" s="37"/>
      <c r="D932" s="29"/>
      <c r="E932" s="29"/>
      <c r="F932" s="37"/>
      <c r="G932" s="37"/>
      <c r="H932" s="37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  <c r="AA932" s="29"/>
    </row>
    <row r="933" ht="11.25" customHeight="1">
      <c r="A933" s="29"/>
      <c r="B933" s="29"/>
      <c r="C933" s="37"/>
      <c r="D933" s="29"/>
      <c r="E933" s="29"/>
      <c r="F933" s="37"/>
      <c r="G933" s="37"/>
      <c r="H933" s="37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  <c r="AA933" s="29"/>
    </row>
    <row r="934" ht="11.25" customHeight="1">
      <c r="A934" s="29"/>
      <c r="B934" s="29"/>
      <c r="C934" s="37"/>
      <c r="D934" s="29"/>
      <c r="E934" s="29"/>
      <c r="F934" s="37"/>
      <c r="G934" s="37"/>
      <c r="H934" s="37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  <c r="AA934" s="29"/>
    </row>
    <row r="935" ht="11.25" customHeight="1">
      <c r="A935" s="29"/>
      <c r="B935" s="29"/>
      <c r="C935" s="37"/>
      <c r="D935" s="29"/>
      <c r="E935" s="29"/>
      <c r="F935" s="37"/>
      <c r="G935" s="37"/>
      <c r="H935" s="37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  <c r="AA935" s="29"/>
    </row>
    <row r="936" ht="11.25" customHeight="1">
      <c r="A936" s="29"/>
      <c r="B936" s="29"/>
      <c r="C936" s="37"/>
      <c r="D936" s="29"/>
      <c r="E936" s="29"/>
      <c r="F936" s="37"/>
      <c r="G936" s="37"/>
      <c r="H936" s="37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  <c r="AA936" s="29"/>
    </row>
    <row r="937" ht="11.25" customHeight="1">
      <c r="A937" s="29"/>
      <c r="B937" s="29"/>
      <c r="C937" s="37"/>
      <c r="D937" s="29"/>
      <c r="E937" s="29"/>
      <c r="F937" s="37"/>
      <c r="G937" s="37"/>
      <c r="H937" s="37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  <c r="AA937" s="29"/>
    </row>
    <row r="938" ht="11.25" customHeight="1">
      <c r="A938" s="29"/>
      <c r="B938" s="29"/>
      <c r="C938" s="37"/>
      <c r="D938" s="29"/>
      <c r="E938" s="29"/>
      <c r="F938" s="37"/>
      <c r="G938" s="37"/>
      <c r="H938" s="37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  <c r="AA938" s="29"/>
    </row>
    <row r="939" ht="11.25" customHeight="1">
      <c r="A939" s="29"/>
      <c r="B939" s="29"/>
      <c r="C939" s="37"/>
      <c r="D939" s="29"/>
      <c r="E939" s="29"/>
      <c r="F939" s="37"/>
      <c r="G939" s="37"/>
      <c r="H939" s="37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  <c r="AA939" s="29"/>
    </row>
    <row r="940" ht="11.25" customHeight="1">
      <c r="A940" s="29"/>
      <c r="B940" s="29"/>
      <c r="C940" s="37"/>
      <c r="D940" s="29"/>
      <c r="E940" s="29"/>
      <c r="F940" s="37"/>
      <c r="G940" s="37"/>
      <c r="H940" s="37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  <c r="AA940" s="29"/>
    </row>
    <row r="941" ht="11.25" customHeight="1">
      <c r="A941" s="29"/>
      <c r="B941" s="29"/>
      <c r="C941" s="37"/>
      <c r="D941" s="29"/>
      <c r="E941" s="29"/>
      <c r="F941" s="37"/>
      <c r="G941" s="37"/>
      <c r="H941" s="37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  <c r="AA941" s="29"/>
    </row>
    <row r="942" ht="11.25" customHeight="1">
      <c r="A942" s="29"/>
      <c r="B942" s="29"/>
      <c r="C942" s="37"/>
      <c r="D942" s="29"/>
      <c r="E942" s="29"/>
      <c r="F942" s="37"/>
      <c r="G942" s="37"/>
      <c r="H942" s="37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  <c r="AA942" s="29"/>
    </row>
    <row r="943" ht="11.25" customHeight="1">
      <c r="A943" s="29"/>
      <c r="B943" s="29"/>
      <c r="C943" s="37"/>
      <c r="D943" s="29"/>
      <c r="E943" s="29"/>
      <c r="F943" s="37"/>
      <c r="G943" s="37"/>
      <c r="H943" s="37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  <c r="AA943" s="29"/>
    </row>
    <row r="944" ht="11.25" customHeight="1">
      <c r="A944" s="29"/>
      <c r="B944" s="29"/>
      <c r="C944" s="37"/>
      <c r="D944" s="29"/>
      <c r="E944" s="29"/>
      <c r="F944" s="37"/>
      <c r="G944" s="37"/>
      <c r="H944" s="37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  <c r="AA944" s="29"/>
    </row>
    <row r="945" ht="11.25" customHeight="1">
      <c r="A945" s="29"/>
      <c r="B945" s="29"/>
      <c r="C945" s="37"/>
      <c r="D945" s="29"/>
      <c r="E945" s="29"/>
      <c r="F945" s="37"/>
      <c r="G945" s="37"/>
      <c r="H945" s="37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  <c r="AA945" s="29"/>
    </row>
    <row r="946" ht="11.25" customHeight="1">
      <c r="A946" s="29"/>
      <c r="B946" s="29"/>
      <c r="C946" s="37"/>
      <c r="D946" s="29"/>
      <c r="E946" s="29"/>
      <c r="F946" s="37"/>
      <c r="G946" s="37"/>
      <c r="H946" s="37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  <c r="AA946" s="29"/>
    </row>
    <row r="947" ht="11.25" customHeight="1">
      <c r="A947" s="29"/>
      <c r="B947" s="29"/>
      <c r="C947" s="37"/>
      <c r="D947" s="29"/>
      <c r="E947" s="29"/>
      <c r="F947" s="37"/>
      <c r="G947" s="37"/>
      <c r="H947" s="37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  <c r="AA947" s="29"/>
    </row>
    <row r="948" ht="11.25" customHeight="1">
      <c r="A948" s="29"/>
      <c r="B948" s="29"/>
      <c r="C948" s="37"/>
      <c r="D948" s="29"/>
      <c r="E948" s="29"/>
      <c r="F948" s="37"/>
      <c r="G948" s="37"/>
      <c r="H948" s="37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  <c r="AA948" s="29"/>
    </row>
    <row r="949" ht="11.25" customHeight="1">
      <c r="A949" s="29"/>
      <c r="B949" s="29"/>
      <c r="C949" s="37"/>
      <c r="D949" s="29"/>
      <c r="E949" s="29"/>
      <c r="F949" s="37"/>
      <c r="G949" s="37"/>
      <c r="H949" s="37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  <c r="AA949" s="29"/>
    </row>
    <row r="950" ht="11.25" customHeight="1">
      <c r="A950" s="29"/>
      <c r="B950" s="29"/>
      <c r="C950" s="37"/>
      <c r="D950" s="29"/>
      <c r="E950" s="29"/>
      <c r="F950" s="37"/>
      <c r="G950" s="37"/>
      <c r="H950" s="37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  <c r="AA950" s="29"/>
    </row>
    <row r="951" ht="11.25" customHeight="1">
      <c r="A951" s="29"/>
      <c r="B951" s="29"/>
      <c r="C951" s="37"/>
      <c r="D951" s="29"/>
      <c r="E951" s="29"/>
      <c r="F951" s="37"/>
      <c r="G951" s="37"/>
      <c r="H951" s="37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  <c r="AA951" s="29"/>
    </row>
    <row r="952" ht="11.25" customHeight="1">
      <c r="A952" s="29"/>
      <c r="B952" s="29"/>
      <c r="C952" s="37"/>
      <c r="D952" s="29"/>
      <c r="E952" s="29"/>
      <c r="F952" s="37"/>
      <c r="G952" s="37"/>
      <c r="H952" s="37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  <c r="AA952" s="29"/>
    </row>
    <row r="953" ht="11.25" customHeight="1">
      <c r="A953" s="29"/>
      <c r="B953" s="29"/>
      <c r="C953" s="37"/>
      <c r="D953" s="29"/>
      <c r="E953" s="29"/>
      <c r="F953" s="37"/>
      <c r="G953" s="37"/>
      <c r="H953" s="37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  <c r="AA953" s="29"/>
    </row>
    <row r="954" ht="11.25" customHeight="1">
      <c r="A954" s="29"/>
      <c r="B954" s="29"/>
      <c r="C954" s="37"/>
      <c r="D954" s="29"/>
      <c r="E954" s="29"/>
      <c r="F954" s="37"/>
      <c r="G954" s="37"/>
      <c r="H954" s="37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  <c r="AA954" s="29"/>
    </row>
    <row r="955" ht="11.25" customHeight="1">
      <c r="A955" s="29"/>
      <c r="B955" s="29"/>
      <c r="C955" s="37"/>
      <c r="D955" s="29"/>
      <c r="E955" s="29"/>
      <c r="F955" s="37"/>
      <c r="G955" s="37"/>
      <c r="H955" s="37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  <c r="AA955" s="29"/>
    </row>
    <row r="956" ht="11.25" customHeight="1">
      <c r="A956" s="29"/>
      <c r="B956" s="29"/>
      <c r="C956" s="37"/>
      <c r="D956" s="29"/>
      <c r="E956" s="29"/>
      <c r="F956" s="37"/>
      <c r="G956" s="37"/>
      <c r="H956" s="37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  <c r="AA956" s="29"/>
    </row>
    <row r="957" ht="11.25" customHeight="1">
      <c r="A957" s="29"/>
      <c r="B957" s="29"/>
      <c r="C957" s="37"/>
      <c r="D957" s="29"/>
      <c r="E957" s="29"/>
      <c r="F957" s="37"/>
      <c r="G957" s="37"/>
      <c r="H957" s="37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  <c r="AA957" s="29"/>
    </row>
    <row r="958" ht="11.25" customHeight="1">
      <c r="A958" s="29"/>
      <c r="B958" s="29"/>
      <c r="C958" s="37"/>
      <c r="D958" s="29"/>
      <c r="E958" s="29"/>
      <c r="F958" s="37"/>
      <c r="G958" s="37"/>
      <c r="H958" s="37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  <c r="AA958" s="29"/>
    </row>
    <row r="959" ht="11.25" customHeight="1">
      <c r="A959" s="29"/>
      <c r="B959" s="29"/>
      <c r="C959" s="37"/>
      <c r="D959" s="29"/>
      <c r="E959" s="29"/>
      <c r="F959" s="37"/>
      <c r="G959" s="37"/>
      <c r="H959" s="37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  <c r="AA959" s="29"/>
    </row>
    <row r="960" ht="11.25" customHeight="1">
      <c r="A960" s="29"/>
      <c r="B960" s="29"/>
      <c r="C960" s="37"/>
      <c r="D960" s="29"/>
      <c r="E960" s="29"/>
      <c r="F960" s="37"/>
      <c r="G960" s="37"/>
      <c r="H960" s="37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  <c r="AA960" s="29"/>
    </row>
    <row r="961" ht="11.25" customHeight="1">
      <c r="A961" s="29"/>
      <c r="B961" s="29"/>
      <c r="C961" s="37"/>
      <c r="D961" s="29"/>
      <c r="E961" s="29"/>
      <c r="F961" s="37"/>
      <c r="G961" s="37"/>
      <c r="H961" s="37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  <c r="AA961" s="29"/>
    </row>
    <row r="962" ht="11.25" customHeight="1">
      <c r="A962" s="29"/>
      <c r="B962" s="29"/>
      <c r="C962" s="37"/>
      <c r="D962" s="29"/>
      <c r="E962" s="29"/>
      <c r="F962" s="37"/>
      <c r="G962" s="37"/>
      <c r="H962" s="37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  <c r="AA962" s="29"/>
    </row>
    <row r="963" ht="11.25" customHeight="1">
      <c r="A963" s="29"/>
      <c r="B963" s="29"/>
      <c r="C963" s="37"/>
      <c r="D963" s="29"/>
      <c r="E963" s="29"/>
      <c r="F963" s="37"/>
      <c r="G963" s="37"/>
      <c r="H963" s="37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  <c r="AA963" s="29"/>
    </row>
    <row r="964" ht="11.25" customHeight="1">
      <c r="A964" s="29"/>
      <c r="B964" s="29"/>
      <c r="C964" s="37"/>
      <c r="D964" s="29"/>
      <c r="E964" s="29"/>
      <c r="F964" s="37"/>
      <c r="G964" s="37"/>
      <c r="H964" s="37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  <c r="AA964" s="29"/>
    </row>
    <row r="965" ht="11.25" customHeight="1">
      <c r="A965" s="29"/>
      <c r="B965" s="29"/>
      <c r="C965" s="37"/>
      <c r="D965" s="29"/>
      <c r="E965" s="29"/>
      <c r="F965" s="37"/>
      <c r="G965" s="37"/>
      <c r="H965" s="37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  <c r="AA965" s="29"/>
    </row>
    <row r="966" ht="11.25" customHeight="1">
      <c r="A966" s="29"/>
      <c r="B966" s="29"/>
      <c r="C966" s="37"/>
      <c r="D966" s="29"/>
      <c r="E966" s="29"/>
      <c r="F966" s="37"/>
      <c r="G966" s="37"/>
      <c r="H966" s="37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  <c r="AA966" s="29"/>
    </row>
    <row r="967" ht="11.25" customHeight="1">
      <c r="A967" s="29"/>
      <c r="B967" s="29"/>
      <c r="C967" s="37"/>
      <c r="D967" s="29"/>
      <c r="E967" s="29"/>
      <c r="F967" s="37"/>
      <c r="G967" s="37"/>
      <c r="H967" s="37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  <c r="AA967" s="29"/>
    </row>
    <row r="968" ht="11.25" customHeight="1">
      <c r="A968" s="29"/>
      <c r="B968" s="29"/>
      <c r="C968" s="37"/>
      <c r="D968" s="29"/>
      <c r="E968" s="29"/>
      <c r="F968" s="37"/>
      <c r="G968" s="37"/>
      <c r="H968" s="37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  <c r="AA968" s="29"/>
    </row>
    <row r="969" ht="11.25" customHeight="1">
      <c r="A969" s="29"/>
      <c r="B969" s="29"/>
      <c r="C969" s="37"/>
      <c r="D969" s="29"/>
      <c r="E969" s="29"/>
      <c r="F969" s="37"/>
      <c r="G969" s="37"/>
      <c r="H969" s="37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  <c r="AA969" s="29"/>
    </row>
    <row r="970" ht="11.25" customHeight="1">
      <c r="A970" s="29"/>
      <c r="B970" s="29"/>
      <c r="C970" s="37"/>
      <c r="D970" s="29"/>
      <c r="E970" s="29"/>
      <c r="F970" s="37"/>
      <c r="G970" s="37"/>
      <c r="H970" s="37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  <c r="AA970" s="29"/>
    </row>
    <row r="971" ht="11.25" customHeight="1">
      <c r="A971" s="29"/>
      <c r="B971" s="29"/>
      <c r="C971" s="37"/>
      <c r="D971" s="29"/>
      <c r="E971" s="29"/>
      <c r="F971" s="37"/>
      <c r="G971" s="37"/>
      <c r="H971" s="37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  <c r="AA971" s="29"/>
    </row>
    <row r="972" ht="11.25" customHeight="1">
      <c r="A972" s="29"/>
      <c r="B972" s="29"/>
      <c r="C972" s="37"/>
      <c r="D972" s="29"/>
      <c r="E972" s="29"/>
      <c r="F972" s="37"/>
      <c r="G972" s="37"/>
      <c r="H972" s="37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  <c r="AA972" s="29"/>
    </row>
    <row r="973" ht="11.25" customHeight="1">
      <c r="A973" s="29"/>
      <c r="B973" s="29"/>
      <c r="C973" s="37"/>
      <c r="D973" s="29"/>
      <c r="E973" s="29"/>
      <c r="F973" s="37"/>
      <c r="G973" s="37"/>
      <c r="H973" s="37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  <c r="AA973" s="29"/>
    </row>
    <row r="974" ht="11.25" customHeight="1">
      <c r="A974" s="29"/>
      <c r="B974" s="29"/>
      <c r="C974" s="37"/>
      <c r="D974" s="29"/>
      <c r="E974" s="29"/>
      <c r="F974" s="37"/>
      <c r="G974" s="37"/>
      <c r="H974" s="37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  <c r="AA974" s="29"/>
    </row>
    <row r="975" ht="11.25" customHeight="1">
      <c r="A975" s="29"/>
      <c r="B975" s="29"/>
      <c r="C975" s="37"/>
      <c r="D975" s="29"/>
      <c r="E975" s="29"/>
      <c r="F975" s="37"/>
      <c r="G975" s="37"/>
      <c r="H975" s="37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  <c r="AA975" s="29"/>
    </row>
    <row r="976" ht="11.25" customHeight="1">
      <c r="A976" s="29"/>
      <c r="B976" s="29"/>
      <c r="C976" s="37"/>
      <c r="D976" s="29"/>
      <c r="E976" s="29"/>
      <c r="F976" s="37"/>
      <c r="G976" s="37"/>
      <c r="H976" s="37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  <c r="AA976" s="29"/>
    </row>
    <row r="977" ht="11.25" customHeight="1">
      <c r="A977" s="29"/>
      <c r="B977" s="29"/>
      <c r="C977" s="37"/>
      <c r="D977" s="29"/>
      <c r="E977" s="29"/>
      <c r="F977" s="37"/>
      <c r="G977" s="37"/>
      <c r="H977" s="37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  <c r="AA977" s="29"/>
    </row>
    <row r="978" ht="11.25" customHeight="1">
      <c r="A978" s="29"/>
      <c r="B978" s="29"/>
      <c r="C978" s="37"/>
      <c r="D978" s="29"/>
      <c r="E978" s="29"/>
      <c r="F978" s="37"/>
      <c r="G978" s="37"/>
      <c r="H978" s="37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  <c r="AA978" s="29"/>
    </row>
    <row r="979" ht="11.25" customHeight="1">
      <c r="A979" s="29"/>
      <c r="B979" s="29"/>
      <c r="C979" s="37"/>
      <c r="D979" s="29"/>
      <c r="E979" s="29"/>
      <c r="F979" s="37"/>
      <c r="G979" s="37"/>
      <c r="H979" s="37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  <c r="AA979" s="29"/>
    </row>
    <row r="980" ht="11.25" customHeight="1">
      <c r="A980" s="29"/>
      <c r="B980" s="29"/>
      <c r="C980" s="37"/>
      <c r="D980" s="29"/>
      <c r="E980" s="29"/>
      <c r="F980" s="37"/>
      <c r="G980" s="37"/>
      <c r="H980" s="37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  <c r="AA980" s="29"/>
    </row>
    <row r="981" ht="11.25" customHeight="1">
      <c r="A981" s="29"/>
      <c r="B981" s="29"/>
      <c r="C981" s="37"/>
      <c r="D981" s="29"/>
      <c r="E981" s="29"/>
      <c r="F981" s="37"/>
      <c r="G981" s="37"/>
      <c r="H981" s="37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  <c r="AA981" s="29"/>
    </row>
    <row r="982" ht="11.25" customHeight="1">
      <c r="A982" s="29"/>
      <c r="B982" s="29"/>
      <c r="C982" s="37"/>
      <c r="D982" s="29"/>
      <c r="E982" s="29"/>
      <c r="F982" s="37"/>
      <c r="G982" s="37"/>
      <c r="H982" s="37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  <c r="AA982" s="29"/>
    </row>
    <row r="983" ht="11.25" customHeight="1">
      <c r="A983" s="29"/>
      <c r="B983" s="29"/>
      <c r="C983" s="37"/>
      <c r="D983" s="29"/>
      <c r="E983" s="29"/>
      <c r="F983" s="37"/>
      <c r="G983" s="37"/>
      <c r="H983" s="37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  <c r="AA983" s="29"/>
    </row>
    <row r="984" ht="11.25" customHeight="1">
      <c r="A984" s="29"/>
      <c r="B984" s="29"/>
      <c r="C984" s="37"/>
      <c r="D984" s="29"/>
      <c r="E984" s="29"/>
      <c r="F984" s="37"/>
      <c r="G984" s="37"/>
      <c r="H984" s="37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  <c r="AA984" s="29"/>
    </row>
    <row r="985" ht="11.25" customHeight="1">
      <c r="A985" s="29"/>
      <c r="B985" s="29"/>
      <c r="C985" s="37"/>
      <c r="D985" s="29"/>
      <c r="E985" s="29"/>
      <c r="F985" s="37"/>
      <c r="G985" s="37"/>
      <c r="H985" s="37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  <c r="AA985" s="29"/>
    </row>
    <row r="986" ht="11.25" customHeight="1">
      <c r="A986" s="29"/>
      <c r="B986" s="29"/>
      <c r="C986" s="37"/>
      <c r="D986" s="29"/>
      <c r="E986" s="29"/>
      <c r="F986" s="37"/>
      <c r="G986" s="37"/>
      <c r="H986" s="37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  <c r="AA986" s="29"/>
    </row>
    <row r="987" ht="11.25" customHeight="1">
      <c r="A987" s="29"/>
      <c r="B987" s="29"/>
      <c r="C987" s="37"/>
      <c r="D987" s="29"/>
      <c r="E987" s="29"/>
      <c r="F987" s="37"/>
      <c r="G987" s="37"/>
      <c r="H987" s="37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  <c r="AA987" s="29"/>
    </row>
    <row r="988" ht="11.25" customHeight="1">
      <c r="A988" s="29"/>
      <c r="B988" s="29"/>
      <c r="C988" s="37"/>
      <c r="D988" s="29"/>
      <c r="E988" s="29"/>
      <c r="F988" s="37"/>
      <c r="G988" s="37"/>
      <c r="H988" s="37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  <c r="AA988" s="29"/>
    </row>
    <row r="989" ht="11.25" customHeight="1">
      <c r="A989" s="29"/>
      <c r="B989" s="29"/>
      <c r="C989" s="37"/>
      <c r="D989" s="29"/>
      <c r="E989" s="29"/>
      <c r="F989" s="37"/>
      <c r="G989" s="37"/>
      <c r="H989" s="37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  <c r="AA989" s="29"/>
    </row>
    <row r="990" ht="11.25" customHeight="1">
      <c r="A990" s="29"/>
      <c r="B990" s="29"/>
      <c r="C990" s="37"/>
      <c r="D990" s="29"/>
      <c r="E990" s="29"/>
      <c r="F990" s="37"/>
      <c r="G990" s="37"/>
      <c r="H990" s="37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  <c r="AA990" s="29"/>
    </row>
    <row r="991" ht="11.25" customHeight="1">
      <c r="A991" s="29"/>
      <c r="B991" s="29"/>
      <c r="C991" s="37"/>
      <c r="D991" s="29"/>
      <c r="E991" s="29"/>
      <c r="F991" s="37"/>
      <c r="G991" s="37"/>
      <c r="H991" s="37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  <c r="AA991" s="29"/>
    </row>
    <row r="992" ht="11.25" customHeight="1">
      <c r="A992" s="29"/>
      <c r="B992" s="29"/>
      <c r="C992" s="37"/>
      <c r="D992" s="29"/>
      <c r="E992" s="29"/>
      <c r="F992" s="37"/>
      <c r="G992" s="37"/>
      <c r="H992" s="37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  <c r="AA992" s="29"/>
    </row>
    <row r="993" ht="11.25" customHeight="1">
      <c r="A993" s="29"/>
      <c r="B993" s="29"/>
      <c r="C993" s="37"/>
      <c r="D993" s="29"/>
      <c r="E993" s="29"/>
      <c r="F993" s="37"/>
      <c r="G993" s="37"/>
      <c r="H993" s="37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  <c r="AA993" s="29"/>
    </row>
    <row r="994" ht="11.25" customHeight="1">
      <c r="A994" s="29"/>
      <c r="B994" s="29"/>
      <c r="C994" s="37"/>
      <c r="D994" s="29"/>
      <c r="E994" s="29"/>
      <c r="F994" s="37"/>
      <c r="G994" s="37"/>
      <c r="H994" s="37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  <c r="AA994" s="29"/>
    </row>
    <row r="995" ht="11.25" customHeight="1">
      <c r="A995" s="29"/>
      <c r="B995" s="29"/>
      <c r="C995" s="37"/>
      <c r="D995" s="29"/>
      <c r="E995" s="29"/>
      <c r="F995" s="37"/>
      <c r="G995" s="37"/>
      <c r="H995" s="37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  <c r="AA995" s="29"/>
    </row>
    <row r="996" ht="11.25" customHeight="1">
      <c r="A996" s="29"/>
      <c r="B996" s="29"/>
      <c r="C996" s="37"/>
      <c r="D996" s="29"/>
      <c r="E996" s="29"/>
      <c r="F996" s="37"/>
      <c r="G996" s="37"/>
      <c r="H996" s="37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  <c r="AA996" s="29"/>
    </row>
    <row r="997" ht="11.25" customHeight="1">
      <c r="A997" s="29"/>
      <c r="B997" s="29"/>
      <c r="C997" s="37"/>
      <c r="D997" s="29"/>
      <c r="E997" s="29"/>
      <c r="F997" s="37"/>
      <c r="G997" s="37"/>
      <c r="H997" s="37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  <c r="AA997" s="29"/>
    </row>
    <row r="998" ht="11.25" customHeight="1">
      <c r="A998" s="29"/>
      <c r="B998" s="29"/>
      <c r="C998" s="37"/>
      <c r="D998" s="29"/>
      <c r="E998" s="29"/>
      <c r="F998" s="37"/>
      <c r="G998" s="37"/>
      <c r="H998" s="37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  <c r="AA998" s="29"/>
    </row>
    <row r="999" ht="11.25" customHeight="1">
      <c r="A999" s="29"/>
      <c r="B999" s="29"/>
      <c r="C999" s="37"/>
      <c r="D999" s="29"/>
      <c r="E999" s="29"/>
      <c r="F999" s="37"/>
      <c r="G999" s="37"/>
      <c r="H999" s="37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  <c r="AA999" s="29"/>
    </row>
    <row r="1000" ht="11.25" customHeight="1">
      <c r="A1000" s="29"/>
      <c r="B1000" s="29"/>
      <c r="C1000" s="37"/>
      <c r="D1000" s="29"/>
      <c r="E1000" s="29"/>
      <c r="F1000" s="37"/>
      <c r="G1000" s="37"/>
      <c r="H1000" s="37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  <c r="AA1000" s="29"/>
    </row>
  </sheetData>
  <autoFilter ref="$B$12:$H$106"/>
  <mergeCells count="7">
    <mergeCell ref="B1:N1"/>
    <mergeCell ref="B2:H2"/>
    <mergeCell ref="B3:H3"/>
    <mergeCell ref="B4:H4"/>
    <mergeCell ref="B5:H5"/>
    <mergeCell ref="B7:C7"/>
    <mergeCell ref="B8:H8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2024-09-23T14:47:13Z</dcterms:created>
  <dc:creator>INEC Lorena Parreño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